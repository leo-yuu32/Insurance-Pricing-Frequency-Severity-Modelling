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ly124_ic_ac_uk/Documents/Projects/Insurance Model/Insurance-Pricing-Frequency-Severity-Modelling/artifacts/"/>
    </mc:Choice>
  </mc:AlternateContent>
  <xr:revisionPtr revIDLastSave="403" documentId="11_281275FFDB8E94BC1D06C80A4C559B4C029390BC" xr6:coauthVersionLast="47" xr6:coauthVersionMax="47" xr10:uidLastSave="{696135BD-16FE-4D00-B37E-B82A9A3ECB4D}"/>
  <bookViews>
    <workbookView xWindow="-98" yWindow="-98" windowWidth="21795" windowHeight="12975" firstSheet="4" activeTab="8" xr2:uid="{00000000-000D-0000-FFFF-FFFF00000000}"/>
  </bookViews>
  <sheets>
    <sheet name="README" sheetId="1" r:id="rId1"/>
    <sheet name="Scalars" sheetId="2" r:id="rId2"/>
    <sheet name="Coef_Freq" sheetId="3" r:id="rId3"/>
    <sheet name="Coef_Sev" sheetId="4" r:id="rId4"/>
    <sheet name="Encoder_Map" sheetId="5" r:id="rId5"/>
    <sheet name="Knots" sheetId="6" r:id="rId6"/>
    <sheet name="Loadings" sheetId="7" r:id="rId7"/>
    <sheet name="Sample_Policy" sheetId="9" r:id="rId8"/>
    <sheet name="Sensitivity_OneWay" sheetId="10" r:id="rId9"/>
    <sheet name="Reconcile" sheetId="8" r:id="rId10"/>
  </sheets>
  <definedNames>
    <definedName name="FreqCoefs">Coef_Freq!$A$2:$B$50</definedName>
    <definedName name="FreqIntercept">Coef_Freq!$B$2</definedName>
    <definedName name="KnotsX">Knots!$A$2:$A$62</definedName>
    <definedName name="KnotsY">Knots!$B$2:$B$62</definedName>
    <definedName name="LoadingsKeys">Loadings!$D$2:$D$8</definedName>
    <definedName name="LoadingsMult">Loadings!$C$2:$C$8</definedName>
    <definedName name="OffBalance">Scalars!$B$2</definedName>
    <definedName name="SevCoefs">Coef_Sev!$A$2:$B$50</definedName>
    <definedName name="SevIntercept">Coef_Sev!$B$2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0" l="1"/>
  <c r="N5" i="10"/>
  <c r="N4" i="10"/>
  <c r="H6" i="10"/>
  <c r="K6" i="10" s="1"/>
  <c r="I6" i="10"/>
  <c r="L6" i="10" s="1"/>
  <c r="I5" i="10"/>
  <c r="H5" i="10"/>
  <c r="I4" i="10"/>
  <c r="L4" i="10" s="1"/>
  <c r="H4" i="10"/>
  <c r="K4" i="10" s="1"/>
  <c r="B8" i="9"/>
  <c r="B10" i="9"/>
  <c r="B9" i="9"/>
  <c r="Q101" i="8"/>
  <c r="P101" i="8"/>
  <c r="R101" i="8" s="1"/>
  <c r="S101" i="8" s="1"/>
  <c r="T101" i="8" s="1"/>
  <c r="Q100" i="8"/>
  <c r="P100" i="8"/>
  <c r="R100" i="8" s="1"/>
  <c r="S100" i="8" s="1"/>
  <c r="T100" i="8" s="1"/>
  <c r="Q99" i="8"/>
  <c r="P99" i="8"/>
  <c r="R99" i="8" s="1"/>
  <c r="S99" i="8" s="1"/>
  <c r="T99" i="8" s="1"/>
  <c r="Q98" i="8"/>
  <c r="P98" i="8"/>
  <c r="R98" i="8" s="1"/>
  <c r="S98" i="8" s="1"/>
  <c r="T98" i="8" s="1"/>
  <c r="Q97" i="8"/>
  <c r="P97" i="8"/>
  <c r="R97" i="8" s="1"/>
  <c r="S97" i="8" s="1"/>
  <c r="T97" i="8" s="1"/>
  <c r="Q96" i="8"/>
  <c r="P96" i="8"/>
  <c r="R96" i="8" s="1"/>
  <c r="S96" i="8" s="1"/>
  <c r="T96" i="8" s="1"/>
  <c r="Q95" i="8"/>
  <c r="P95" i="8"/>
  <c r="R95" i="8" s="1"/>
  <c r="S95" i="8" s="1"/>
  <c r="T95" i="8" s="1"/>
  <c r="Q94" i="8"/>
  <c r="P94" i="8"/>
  <c r="R94" i="8" s="1"/>
  <c r="S94" i="8" s="1"/>
  <c r="T94" i="8" s="1"/>
  <c r="Q93" i="8"/>
  <c r="P93" i="8"/>
  <c r="R93" i="8" s="1"/>
  <c r="S93" i="8" s="1"/>
  <c r="T93" i="8" s="1"/>
  <c r="Q92" i="8"/>
  <c r="P92" i="8"/>
  <c r="R92" i="8" s="1"/>
  <c r="S92" i="8" s="1"/>
  <c r="T92" i="8" s="1"/>
  <c r="Q91" i="8"/>
  <c r="P91" i="8"/>
  <c r="R91" i="8" s="1"/>
  <c r="S91" i="8" s="1"/>
  <c r="T91" i="8" s="1"/>
  <c r="Q90" i="8"/>
  <c r="P90" i="8"/>
  <c r="R90" i="8" s="1"/>
  <c r="S90" i="8" s="1"/>
  <c r="T90" i="8" s="1"/>
  <c r="Q89" i="8"/>
  <c r="P89" i="8"/>
  <c r="R89" i="8" s="1"/>
  <c r="S89" i="8" s="1"/>
  <c r="T89" i="8" s="1"/>
  <c r="Q88" i="8"/>
  <c r="P88" i="8"/>
  <c r="R88" i="8" s="1"/>
  <c r="S88" i="8" s="1"/>
  <c r="T88" i="8" s="1"/>
  <c r="R87" i="8"/>
  <c r="S87" i="8" s="1"/>
  <c r="T87" i="8" s="1"/>
  <c r="Q87" i="8"/>
  <c r="P87" i="8"/>
  <c r="Q86" i="8"/>
  <c r="P86" i="8"/>
  <c r="R86" i="8" s="1"/>
  <c r="S86" i="8" s="1"/>
  <c r="T86" i="8" s="1"/>
  <c r="Q85" i="8"/>
  <c r="P85" i="8"/>
  <c r="R85" i="8" s="1"/>
  <c r="S85" i="8" s="1"/>
  <c r="T85" i="8" s="1"/>
  <c r="Q84" i="8"/>
  <c r="P84" i="8"/>
  <c r="R84" i="8" s="1"/>
  <c r="S84" i="8" s="1"/>
  <c r="T84" i="8" s="1"/>
  <c r="Q83" i="8"/>
  <c r="P83" i="8"/>
  <c r="R83" i="8" s="1"/>
  <c r="S83" i="8" s="1"/>
  <c r="T83" i="8" s="1"/>
  <c r="Q82" i="8"/>
  <c r="P82" i="8"/>
  <c r="R82" i="8" s="1"/>
  <c r="S82" i="8" s="1"/>
  <c r="T82" i="8" s="1"/>
  <c r="Q81" i="8"/>
  <c r="P81" i="8"/>
  <c r="R81" i="8" s="1"/>
  <c r="S81" i="8" s="1"/>
  <c r="T81" i="8" s="1"/>
  <c r="Q80" i="8"/>
  <c r="P80" i="8"/>
  <c r="R80" i="8" s="1"/>
  <c r="S80" i="8" s="1"/>
  <c r="T80" i="8" s="1"/>
  <c r="Q79" i="8"/>
  <c r="P79" i="8"/>
  <c r="R79" i="8" s="1"/>
  <c r="S79" i="8" s="1"/>
  <c r="T79" i="8" s="1"/>
  <c r="Q78" i="8"/>
  <c r="P78" i="8"/>
  <c r="R78" i="8" s="1"/>
  <c r="S78" i="8" s="1"/>
  <c r="T78" i="8" s="1"/>
  <c r="Q77" i="8"/>
  <c r="P77" i="8"/>
  <c r="R77" i="8" s="1"/>
  <c r="S77" i="8" s="1"/>
  <c r="T77" i="8" s="1"/>
  <c r="Q76" i="8"/>
  <c r="P76" i="8"/>
  <c r="R76" i="8" s="1"/>
  <c r="S76" i="8" s="1"/>
  <c r="T76" i="8" s="1"/>
  <c r="Q75" i="8"/>
  <c r="P75" i="8"/>
  <c r="R75" i="8" s="1"/>
  <c r="S75" i="8" s="1"/>
  <c r="T75" i="8" s="1"/>
  <c r="Q74" i="8"/>
  <c r="P74" i="8"/>
  <c r="R74" i="8" s="1"/>
  <c r="S74" i="8" s="1"/>
  <c r="T74" i="8" s="1"/>
  <c r="Q73" i="8"/>
  <c r="P73" i="8"/>
  <c r="R73" i="8" s="1"/>
  <c r="S73" i="8" s="1"/>
  <c r="T73" i="8" s="1"/>
  <c r="Q72" i="8"/>
  <c r="P72" i="8"/>
  <c r="R72" i="8" s="1"/>
  <c r="S72" i="8" s="1"/>
  <c r="T72" i="8" s="1"/>
  <c r="Q71" i="8"/>
  <c r="P71" i="8"/>
  <c r="R71" i="8" s="1"/>
  <c r="S71" i="8" s="1"/>
  <c r="T71" i="8" s="1"/>
  <c r="Q70" i="8"/>
  <c r="P70" i="8"/>
  <c r="R70" i="8" s="1"/>
  <c r="S70" i="8" s="1"/>
  <c r="T70" i="8" s="1"/>
  <c r="Q69" i="8"/>
  <c r="P69" i="8"/>
  <c r="R69" i="8" s="1"/>
  <c r="S69" i="8" s="1"/>
  <c r="T69" i="8" s="1"/>
  <c r="Q68" i="8"/>
  <c r="P68" i="8"/>
  <c r="R68" i="8" s="1"/>
  <c r="S68" i="8" s="1"/>
  <c r="T68" i="8" s="1"/>
  <c r="Q67" i="8"/>
  <c r="P67" i="8"/>
  <c r="R67" i="8" s="1"/>
  <c r="S67" i="8" s="1"/>
  <c r="T67" i="8" s="1"/>
  <c r="Q66" i="8"/>
  <c r="P66" i="8"/>
  <c r="R66" i="8" s="1"/>
  <c r="S66" i="8" s="1"/>
  <c r="T66" i="8" s="1"/>
  <c r="U65" i="8"/>
  <c r="Q65" i="8"/>
  <c r="P65" i="8"/>
  <c r="R65" i="8" s="1"/>
  <c r="S65" i="8" s="1"/>
  <c r="T65" i="8" s="1"/>
  <c r="V65" i="8" s="1"/>
  <c r="X65" i="8" s="1"/>
  <c r="Y65" i="8" s="1"/>
  <c r="Z65" i="8" s="1"/>
  <c r="U64" i="8"/>
  <c r="Q64" i="8"/>
  <c r="P64" i="8"/>
  <c r="R64" i="8" s="1"/>
  <c r="S64" i="8" s="1"/>
  <c r="T64" i="8" s="1"/>
  <c r="V64" i="8" s="1"/>
  <c r="X64" i="8" s="1"/>
  <c r="Y64" i="8" s="1"/>
  <c r="Z64" i="8" s="1"/>
  <c r="U63" i="8"/>
  <c r="Q63" i="8"/>
  <c r="P63" i="8"/>
  <c r="R63" i="8" s="1"/>
  <c r="S63" i="8" s="1"/>
  <c r="T63" i="8" s="1"/>
  <c r="V63" i="8" s="1"/>
  <c r="X63" i="8" s="1"/>
  <c r="Y63" i="8" s="1"/>
  <c r="Z63" i="8" s="1"/>
  <c r="U62" i="8"/>
  <c r="Q62" i="8"/>
  <c r="P62" i="8"/>
  <c r="R62" i="8" s="1"/>
  <c r="S62" i="8" s="1"/>
  <c r="T62" i="8" s="1"/>
  <c r="V62" i="8" s="1"/>
  <c r="X62" i="8" s="1"/>
  <c r="Y62" i="8" s="1"/>
  <c r="Z62" i="8" s="1"/>
  <c r="Q61" i="8"/>
  <c r="P61" i="8"/>
  <c r="R61" i="8" s="1"/>
  <c r="S61" i="8" s="1"/>
  <c r="T61" i="8" s="1"/>
  <c r="U60" i="8"/>
  <c r="Q60" i="8"/>
  <c r="P60" i="8"/>
  <c r="R60" i="8" s="1"/>
  <c r="S60" i="8" s="1"/>
  <c r="T60" i="8" s="1"/>
  <c r="V60" i="8" s="1"/>
  <c r="X60" i="8" s="1"/>
  <c r="Y60" i="8" s="1"/>
  <c r="Z60" i="8" s="1"/>
  <c r="U59" i="8"/>
  <c r="Q59" i="8"/>
  <c r="P59" i="8"/>
  <c r="R59" i="8" s="1"/>
  <c r="S59" i="8" s="1"/>
  <c r="T59" i="8" s="1"/>
  <c r="V59" i="8" s="1"/>
  <c r="X59" i="8" s="1"/>
  <c r="Y59" i="8" s="1"/>
  <c r="Z59" i="8" s="1"/>
  <c r="U58" i="8"/>
  <c r="Q58" i="8"/>
  <c r="P58" i="8"/>
  <c r="R58" i="8" s="1"/>
  <c r="S58" i="8" s="1"/>
  <c r="T58" i="8" s="1"/>
  <c r="V58" i="8" s="1"/>
  <c r="X58" i="8" s="1"/>
  <c r="Y58" i="8" s="1"/>
  <c r="Z58" i="8" s="1"/>
  <c r="U57" i="8"/>
  <c r="Q57" i="8"/>
  <c r="P57" i="8"/>
  <c r="R57" i="8" s="1"/>
  <c r="S57" i="8" s="1"/>
  <c r="T57" i="8" s="1"/>
  <c r="V57" i="8" s="1"/>
  <c r="X57" i="8" s="1"/>
  <c r="Y57" i="8" s="1"/>
  <c r="Z57" i="8" s="1"/>
  <c r="Q56" i="8"/>
  <c r="P56" i="8"/>
  <c r="R56" i="8" s="1"/>
  <c r="S56" i="8" s="1"/>
  <c r="T56" i="8" s="1"/>
  <c r="Q55" i="8"/>
  <c r="P55" i="8"/>
  <c r="R55" i="8" s="1"/>
  <c r="S55" i="8" s="1"/>
  <c r="T55" i="8" s="1"/>
  <c r="Q54" i="8"/>
  <c r="P54" i="8"/>
  <c r="R54" i="8" s="1"/>
  <c r="S54" i="8" s="1"/>
  <c r="T54" i="8" s="1"/>
  <c r="Q53" i="8"/>
  <c r="P53" i="8"/>
  <c r="R53" i="8" s="1"/>
  <c r="S53" i="8" s="1"/>
  <c r="T53" i="8" s="1"/>
  <c r="Q52" i="8"/>
  <c r="P52" i="8"/>
  <c r="R52" i="8" s="1"/>
  <c r="S52" i="8" s="1"/>
  <c r="T52" i="8" s="1"/>
  <c r="Q51" i="8"/>
  <c r="P51" i="8"/>
  <c r="R51" i="8" s="1"/>
  <c r="S51" i="8" s="1"/>
  <c r="T51" i="8" s="1"/>
  <c r="Q50" i="8"/>
  <c r="P50" i="8"/>
  <c r="R50" i="8" s="1"/>
  <c r="S50" i="8" s="1"/>
  <c r="T50" i="8" s="1"/>
  <c r="Q49" i="8"/>
  <c r="P49" i="8"/>
  <c r="R49" i="8" s="1"/>
  <c r="S49" i="8" s="1"/>
  <c r="T49" i="8" s="1"/>
  <c r="Q48" i="8"/>
  <c r="P48" i="8"/>
  <c r="R48" i="8" s="1"/>
  <c r="S48" i="8" s="1"/>
  <c r="T48" i="8" s="1"/>
  <c r="Q47" i="8"/>
  <c r="P47" i="8"/>
  <c r="R47" i="8" s="1"/>
  <c r="S47" i="8" s="1"/>
  <c r="T47" i="8" s="1"/>
  <c r="Q46" i="8"/>
  <c r="P46" i="8"/>
  <c r="R46" i="8" s="1"/>
  <c r="S46" i="8" s="1"/>
  <c r="T46" i="8" s="1"/>
  <c r="Q45" i="8"/>
  <c r="P45" i="8"/>
  <c r="R45" i="8" s="1"/>
  <c r="S45" i="8" s="1"/>
  <c r="T45" i="8" s="1"/>
  <c r="Q44" i="8"/>
  <c r="P44" i="8"/>
  <c r="R44" i="8" s="1"/>
  <c r="S44" i="8" s="1"/>
  <c r="T44" i="8" s="1"/>
  <c r="Q43" i="8"/>
  <c r="P43" i="8"/>
  <c r="R43" i="8" s="1"/>
  <c r="S43" i="8" s="1"/>
  <c r="T43" i="8" s="1"/>
  <c r="Q42" i="8"/>
  <c r="P42" i="8"/>
  <c r="R42" i="8" s="1"/>
  <c r="S42" i="8" s="1"/>
  <c r="T42" i="8" s="1"/>
  <c r="Q41" i="8"/>
  <c r="P41" i="8"/>
  <c r="R41" i="8" s="1"/>
  <c r="S41" i="8" s="1"/>
  <c r="T41" i="8" s="1"/>
  <c r="Q40" i="8"/>
  <c r="P40" i="8"/>
  <c r="R40" i="8" s="1"/>
  <c r="S40" i="8" s="1"/>
  <c r="T40" i="8" s="1"/>
  <c r="Q39" i="8"/>
  <c r="P39" i="8"/>
  <c r="R39" i="8" s="1"/>
  <c r="S39" i="8" s="1"/>
  <c r="T39" i="8" s="1"/>
  <c r="Q38" i="8"/>
  <c r="P38" i="8"/>
  <c r="R38" i="8" s="1"/>
  <c r="S38" i="8" s="1"/>
  <c r="T38" i="8" s="1"/>
  <c r="Q37" i="8"/>
  <c r="R37" i="8" s="1"/>
  <c r="S37" i="8" s="1"/>
  <c r="T37" i="8" s="1"/>
  <c r="P37" i="8"/>
  <c r="Q36" i="8"/>
  <c r="P36" i="8"/>
  <c r="R36" i="8" s="1"/>
  <c r="S36" i="8" s="1"/>
  <c r="T36" i="8" s="1"/>
  <c r="Q35" i="8"/>
  <c r="P35" i="8"/>
  <c r="R35" i="8" s="1"/>
  <c r="S35" i="8" s="1"/>
  <c r="T35" i="8" s="1"/>
  <c r="Q34" i="8"/>
  <c r="P34" i="8"/>
  <c r="R34" i="8" s="1"/>
  <c r="S34" i="8" s="1"/>
  <c r="T34" i="8" s="1"/>
  <c r="Q33" i="8"/>
  <c r="P33" i="8"/>
  <c r="R33" i="8" s="1"/>
  <c r="S33" i="8" s="1"/>
  <c r="T33" i="8" s="1"/>
  <c r="Q32" i="8"/>
  <c r="P32" i="8"/>
  <c r="R32" i="8" s="1"/>
  <c r="S32" i="8" s="1"/>
  <c r="T32" i="8" s="1"/>
  <c r="Q31" i="8"/>
  <c r="P31" i="8"/>
  <c r="R31" i="8" s="1"/>
  <c r="S31" i="8" s="1"/>
  <c r="T31" i="8" s="1"/>
  <c r="Q30" i="8"/>
  <c r="P30" i="8"/>
  <c r="R30" i="8" s="1"/>
  <c r="S30" i="8" s="1"/>
  <c r="T30" i="8" s="1"/>
  <c r="Q29" i="8"/>
  <c r="P29" i="8"/>
  <c r="R29" i="8" s="1"/>
  <c r="S29" i="8" s="1"/>
  <c r="T29" i="8" s="1"/>
  <c r="Q28" i="8"/>
  <c r="P28" i="8"/>
  <c r="R28" i="8" s="1"/>
  <c r="S28" i="8" s="1"/>
  <c r="T28" i="8" s="1"/>
  <c r="Q27" i="8"/>
  <c r="P27" i="8"/>
  <c r="R27" i="8" s="1"/>
  <c r="S27" i="8" s="1"/>
  <c r="T27" i="8" s="1"/>
  <c r="Q26" i="8"/>
  <c r="P26" i="8"/>
  <c r="R26" i="8" s="1"/>
  <c r="S26" i="8" s="1"/>
  <c r="T26" i="8" s="1"/>
  <c r="Q25" i="8"/>
  <c r="P25" i="8"/>
  <c r="R25" i="8" s="1"/>
  <c r="S25" i="8" s="1"/>
  <c r="T25" i="8" s="1"/>
  <c r="Q24" i="8"/>
  <c r="P24" i="8"/>
  <c r="R24" i="8" s="1"/>
  <c r="S24" i="8" s="1"/>
  <c r="T24" i="8" s="1"/>
  <c r="Q23" i="8"/>
  <c r="P23" i="8"/>
  <c r="R23" i="8" s="1"/>
  <c r="S23" i="8" s="1"/>
  <c r="T23" i="8" s="1"/>
  <c r="Q22" i="8"/>
  <c r="P22" i="8"/>
  <c r="R22" i="8" s="1"/>
  <c r="S22" i="8" s="1"/>
  <c r="T22" i="8" s="1"/>
  <c r="Q21" i="8"/>
  <c r="P21" i="8"/>
  <c r="R21" i="8" s="1"/>
  <c r="S21" i="8" s="1"/>
  <c r="T21" i="8" s="1"/>
  <c r="Q20" i="8"/>
  <c r="P20" i="8"/>
  <c r="R20" i="8" s="1"/>
  <c r="S20" i="8" s="1"/>
  <c r="T20" i="8" s="1"/>
  <c r="Q19" i="8"/>
  <c r="P19" i="8"/>
  <c r="R19" i="8" s="1"/>
  <c r="S19" i="8" s="1"/>
  <c r="T19" i="8" s="1"/>
  <c r="Q18" i="8"/>
  <c r="P18" i="8"/>
  <c r="R18" i="8" s="1"/>
  <c r="S18" i="8" s="1"/>
  <c r="T18" i="8" s="1"/>
  <c r="Q17" i="8"/>
  <c r="P17" i="8"/>
  <c r="R17" i="8" s="1"/>
  <c r="S17" i="8" s="1"/>
  <c r="T17" i="8" s="1"/>
  <c r="Q16" i="8"/>
  <c r="P16" i="8"/>
  <c r="R16" i="8" s="1"/>
  <c r="S16" i="8" s="1"/>
  <c r="T16" i="8" s="1"/>
  <c r="Q15" i="8"/>
  <c r="P15" i="8"/>
  <c r="R15" i="8" s="1"/>
  <c r="S15" i="8" s="1"/>
  <c r="T15" i="8" s="1"/>
  <c r="Q14" i="8"/>
  <c r="P14" i="8"/>
  <c r="R14" i="8" s="1"/>
  <c r="S14" i="8" s="1"/>
  <c r="T14" i="8" s="1"/>
  <c r="Q13" i="8"/>
  <c r="P13" i="8"/>
  <c r="R13" i="8" s="1"/>
  <c r="S13" i="8" s="1"/>
  <c r="T13" i="8" s="1"/>
  <c r="Q12" i="8"/>
  <c r="P12" i="8"/>
  <c r="R12" i="8" s="1"/>
  <c r="S12" i="8" s="1"/>
  <c r="T12" i="8" s="1"/>
  <c r="Q11" i="8"/>
  <c r="P11" i="8"/>
  <c r="R11" i="8" s="1"/>
  <c r="S11" i="8" s="1"/>
  <c r="T11" i="8" s="1"/>
  <c r="Q10" i="8"/>
  <c r="P10" i="8"/>
  <c r="R10" i="8" s="1"/>
  <c r="S10" i="8" s="1"/>
  <c r="T10" i="8" s="1"/>
  <c r="Q9" i="8"/>
  <c r="P9" i="8"/>
  <c r="R9" i="8" s="1"/>
  <c r="S9" i="8" s="1"/>
  <c r="T9" i="8" s="1"/>
  <c r="Q8" i="8"/>
  <c r="P8" i="8"/>
  <c r="R8" i="8" s="1"/>
  <c r="S8" i="8" s="1"/>
  <c r="T8" i="8" s="1"/>
  <c r="Q7" i="8"/>
  <c r="P7" i="8"/>
  <c r="R7" i="8" s="1"/>
  <c r="S7" i="8" s="1"/>
  <c r="T7" i="8" s="1"/>
  <c r="Q6" i="8"/>
  <c r="P6" i="8"/>
  <c r="R6" i="8" s="1"/>
  <c r="S6" i="8" s="1"/>
  <c r="T6" i="8" s="1"/>
  <c r="Q5" i="8"/>
  <c r="P5" i="8"/>
  <c r="R5" i="8" s="1"/>
  <c r="S5" i="8" s="1"/>
  <c r="T5" i="8" s="1"/>
  <c r="Q4" i="8"/>
  <c r="P4" i="8"/>
  <c r="R4" i="8" s="1"/>
  <c r="S4" i="8" s="1"/>
  <c r="T4" i="8" s="1"/>
  <c r="Q3" i="8"/>
  <c r="P3" i="8"/>
  <c r="R3" i="8" s="1"/>
  <c r="S3" i="8" s="1"/>
  <c r="T3" i="8" s="1"/>
  <c r="Q2" i="8"/>
  <c r="P2" i="8"/>
  <c r="R2" i="8" s="1"/>
  <c r="S2" i="8" s="1"/>
  <c r="T2" i="8" s="1"/>
  <c r="D8" i="7"/>
  <c r="D7" i="7"/>
  <c r="D6" i="7"/>
  <c r="D5" i="7"/>
  <c r="D4" i="7"/>
  <c r="D3" i="7"/>
  <c r="D2" i="7"/>
  <c r="L5" i="10" l="1"/>
  <c r="K5" i="10"/>
  <c r="J6" i="10"/>
  <c r="J5" i="10"/>
  <c r="B13" i="9"/>
  <c r="J4" i="10"/>
  <c r="B14" i="9"/>
  <c r="B18" i="9"/>
  <c r="U99" i="8"/>
  <c r="V99" i="8" s="1"/>
  <c r="X99" i="8" s="1"/>
  <c r="Y99" i="8" s="1"/>
  <c r="Z99" i="8" s="1"/>
  <c r="U98" i="8"/>
  <c r="V98" i="8" s="1"/>
  <c r="X98" i="8" s="1"/>
  <c r="Y98" i="8" s="1"/>
  <c r="Z98" i="8" s="1"/>
  <c r="U97" i="8"/>
  <c r="V97" i="8" s="1"/>
  <c r="X97" i="8" s="1"/>
  <c r="Y97" i="8" s="1"/>
  <c r="Z97" i="8" s="1"/>
  <c r="U93" i="8"/>
  <c r="V93" i="8" s="1"/>
  <c r="X93" i="8" s="1"/>
  <c r="Y93" i="8" s="1"/>
  <c r="Z93" i="8" s="1"/>
  <c r="U51" i="8"/>
  <c r="V51" i="8" s="1"/>
  <c r="X51" i="8" s="1"/>
  <c r="Y51" i="8" s="1"/>
  <c r="Z51" i="8" s="1"/>
  <c r="U92" i="8"/>
  <c r="V92" i="8" s="1"/>
  <c r="X92" i="8" s="1"/>
  <c r="Y92" i="8" s="1"/>
  <c r="Z92" i="8" s="1"/>
  <c r="U50" i="8"/>
  <c r="V50" i="8" s="1"/>
  <c r="X50" i="8" s="1"/>
  <c r="Y50" i="8" s="1"/>
  <c r="Z50" i="8" s="1"/>
  <c r="U91" i="8"/>
  <c r="V91" i="8" s="1"/>
  <c r="X91" i="8" s="1"/>
  <c r="Y91" i="8" s="1"/>
  <c r="Z91" i="8" s="1"/>
  <c r="U49" i="8"/>
  <c r="V49" i="8" s="1"/>
  <c r="X49" i="8" s="1"/>
  <c r="Y49" i="8" s="1"/>
  <c r="Z49" i="8" s="1"/>
  <c r="U90" i="8"/>
  <c r="V90" i="8" s="1"/>
  <c r="X90" i="8" s="1"/>
  <c r="Y90" i="8" s="1"/>
  <c r="Z90" i="8" s="1"/>
  <c r="U48" i="8"/>
  <c r="V48" i="8" s="1"/>
  <c r="X48" i="8" s="1"/>
  <c r="Y48" i="8" s="1"/>
  <c r="Z48" i="8" s="1"/>
  <c r="U89" i="8"/>
  <c r="V89" i="8" s="1"/>
  <c r="X89" i="8" s="1"/>
  <c r="Y89" i="8" s="1"/>
  <c r="Z89" i="8" s="1"/>
  <c r="U47" i="8"/>
  <c r="V47" i="8" s="1"/>
  <c r="X47" i="8" s="1"/>
  <c r="Y47" i="8" s="1"/>
  <c r="Z47" i="8" s="1"/>
  <c r="U88" i="8"/>
  <c r="V88" i="8" s="1"/>
  <c r="X88" i="8" s="1"/>
  <c r="Y88" i="8" s="1"/>
  <c r="Z88" i="8" s="1"/>
  <c r="U45" i="8"/>
  <c r="V45" i="8" s="1"/>
  <c r="X45" i="8" s="1"/>
  <c r="Y45" i="8" s="1"/>
  <c r="Z45" i="8" s="1"/>
  <c r="U44" i="8"/>
  <c r="V44" i="8" s="1"/>
  <c r="X44" i="8" s="1"/>
  <c r="Y44" i="8" s="1"/>
  <c r="Z44" i="8" s="1"/>
  <c r="U85" i="8"/>
  <c r="V85" i="8" s="1"/>
  <c r="X85" i="8" s="1"/>
  <c r="Y85" i="8" s="1"/>
  <c r="Z85" i="8" s="1"/>
  <c r="U42" i="8"/>
  <c r="V42" i="8" s="1"/>
  <c r="X42" i="8" s="1"/>
  <c r="Y42" i="8" s="1"/>
  <c r="Z42" i="8" s="1"/>
  <c r="U84" i="8"/>
  <c r="V84" i="8" s="1"/>
  <c r="X84" i="8" s="1"/>
  <c r="Y84" i="8" s="1"/>
  <c r="Z84" i="8" s="1"/>
  <c r="U83" i="8"/>
  <c r="V83" i="8" s="1"/>
  <c r="X83" i="8" s="1"/>
  <c r="Y83" i="8" s="1"/>
  <c r="Z83" i="8" s="1"/>
  <c r="U33" i="8"/>
  <c r="V33" i="8" s="1"/>
  <c r="X33" i="8" s="1"/>
  <c r="Y33" i="8" s="1"/>
  <c r="Z33" i="8" s="1"/>
  <c r="U77" i="8"/>
  <c r="V77" i="8" s="1"/>
  <c r="X77" i="8" s="1"/>
  <c r="Y77" i="8" s="1"/>
  <c r="Z77" i="8" s="1"/>
  <c r="U76" i="8"/>
  <c r="V76" i="8" s="1"/>
  <c r="X76" i="8" s="1"/>
  <c r="Y76" i="8" s="1"/>
  <c r="Z76" i="8" s="1"/>
  <c r="U28" i="8"/>
  <c r="V28" i="8" s="1"/>
  <c r="X28" i="8" s="1"/>
  <c r="Y28" i="8" s="1"/>
  <c r="Z28" i="8" s="1"/>
  <c r="U74" i="8"/>
  <c r="V74" i="8" s="1"/>
  <c r="X74" i="8" s="1"/>
  <c r="Y74" i="8" s="1"/>
  <c r="Z74" i="8" s="1"/>
  <c r="U5" i="8"/>
  <c r="V5" i="8" s="1"/>
  <c r="X5" i="8" s="1"/>
  <c r="Y5" i="8" s="1"/>
  <c r="Z5" i="8" s="1"/>
  <c r="U46" i="8"/>
  <c r="V46" i="8" s="1"/>
  <c r="X46" i="8" s="1"/>
  <c r="Y46" i="8" s="1"/>
  <c r="Z46" i="8" s="1"/>
  <c r="U67" i="8"/>
  <c r="V67" i="8" s="1"/>
  <c r="X67" i="8" s="1"/>
  <c r="Y67" i="8" s="1"/>
  <c r="Z67" i="8" s="1"/>
  <c r="U96" i="8"/>
  <c r="V96" i="8" s="1"/>
  <c r="X96" i="8" s="1"/>
  <c r="Y96" i="8" s="1"/>
  <c r="Z96" i="8" s="1"/>
  <c r="U41" i="8"/>
  <c r="V41" i="8" s="1"/>
  <c r="X41" i="8" s="1"/>
  <c r="Y41" i="8" s="1"/>
  <c r="Z41" i="8" s="1"/>
  <c r="U95" i="8"/>
  <c r="V95" i="8" s="1"/>
  <c r="X95" i="8" s="1"/>
  <c r="Y95" i="8" s="1"/>
  <c r="Z95" i="8" s="1"/>
  <c r="U40" i="8"/>
  <c r="V40" i="8" s="1"/>
  <c r="X40" i="8" s="1"/>
  <c r="Y40" i="8" s="1"/>
  <c r="Z40" i="8" s="1"/>
  <c r="U94" i="8"/>
  <c r="V94" i="8" s="1"/>
  <c r="X94" i="8" s="1"/>
  <c r="Y94" i="8" s="1"/>
  <c r="Z94" i="8" s="1"/>
  <c r="U11" i="8"/>
  <c r="V11" i="8" s="1"/>
  <c r="X11" i="8" s="1"/>
  <c r="Y11" i="8" s="1"/>
  <c r="Z11" i="8" s="1"/>
  <c r="U6" i="8"/>
  <c r="V6" i="8" s="1"/>
  <c r="X6" i="8" s="1"/>
  <c r="Y6" i="8" s="1"/>
  <c r="Z6" i="8" s="1"/>
  <c r="U87" i="8"/>
  <c r="V87" i="8" s="1"/>
  <c r="X87" i="8" s="1"/>
  <c r="Y87" i="8" s="1"/>
  <c r="Z87" i="8" s="1"/>
  <c r="U4" i="8"/>
  <c r="V4" i="8" s="1"/>
  <c r="X4" i="8" s="1"/>
  <c r="Y4" i="8" s="1"/>
  <c r="Z4" i="8" s="1"/>
  <c r="U3" i="8"/>
  <c r="V3" i="8" s="1"/>
  <c r="X3" i="8" s="1"/>
  <c r="Y3" i="8" s="1"/>
  <c r="Z3" i="8" s="1"/>
  <c r="U2" i="8"/>
  <c r="V2" i="8" s="1"/>
  <c r="X2" i="8" s="1"/>
  <c r="Y2" i="8" s="1"/>
  <c r="U36" i="8"/>
  <c r="V36" i="8" s="1"/>
  <c r="X36" i="8" s="1"/>
  <c r="Y36" i="8" s="1"/>
  <c r="Z36" i="8" s="1"/>
  <c r="U86" i="8"/>
  <c r="V86" i="8" s="1"/>
  <c r="X86" i="8" s="1"/>
  <c r="Y86" i="8" s="1"/>
  <c r="Z86" i="8" s="1"/>
  <c r="U35" i="8"/>
  <c r="V35" i="8" s="1"/>
  <c r="X35" i="8" s="1"/>
  <c r="Y35" i="8" s="1"/>
  <c r="Z35" i="8" s="1"/>
  <c r="U32" i="8"/>
  <c r="V32" i="8" s="1"/>
  <c r="X32" i="8" s="1"/>
  <c r="Y32" i="8" s="1"/>
  <c r="Z32" i="8" s="1"/>
  <c r="U81" i="8"/>
  <c r="V81" i="8" s="1"/>
  <c r="X81" i="8" s="1"/>
  <c r="Y81" i="8" s="1"/>
  <c r="Z81" i="8" s="1"/>
  <c r="U78" i="8"/>
  <c r="V78" i="8" s="1"/>
  <c r="X78" i="8" s="1"/>
  <c r="Y78" i="8" s="1"/>
  <c r="Z78" i="8" s="1"/>
  <c r="U27" i="8"/>
  <c r="V27" i="8" s="1"/>
  <c r="X27" i="8" s="1"/>
  <c r="Y27" i="8" s="1"/>
  <c r="Z27" i="8" s="1"/>
  <c r="U70" i="8"/>
  <c r="V70" i="8" s="1"/>
  <c r="X70" i="8" s="1"/>
  <c r="Y70" i="8" s="1"/>
  <c r="Z70" i="8" s="1"/>
  <c r="U31" i="8"/>
  <c r="V31" i="8" s="1"/>
  <c r="X31" i="8" s="1"/>
  <c r="Y31" i="8" s="1"/>
  <c r="Z31" i="8" s="1"/>
  <c r="U68" i="8"/>
  <c r="V68" i="8" s="1"/>
  <c r="X68" i="8" s="1"/>
  <c r="Y68" i="8" s="1"/>
  <c r="Z68" i="8" s="1"/>
  <c r="U80" i="8"/>
  <c r="V80" i="8" s="1"/>
  <c r="X80" i="8" s="1"/>
  <c r="Y80" i="8" s="1"/>
  <c r="Z80" i="8" s="1"/>
  <c r="U26" i="8"/>
  <c r="V26" i="8" s="1"/>
  <c r="X26" i="8" s="1"/>
  <c r="Y26" i="8" s="1"/>
  <c r="Z26" i="8" s="1"/>
  <c r="U73" i="8"/>
  <c r="V73" i="8" s="1"/>
  <c r="X73" i="8" s="1"/>
  <c r="Y73" i="8" s="1"/>
  <c r="Z73" i="8" s="1"/>
  <c r="U25" i="8"/>
  <c r="V25" i="8" s="1"/>
  <c r="X25" i="8" s="1"/>
  <c r="Y25" i="8" s="1"/>
  <c r="Z25" i="8" s="1"/>
  <c r="U69" i="8"/>
  <c r="V69" i="8" s="1"/>
  <c r="X69" i="8" s="1"/>
  <c r="Y69" i="8" s="1"/>
  <c r="Z69" i="8" s="1"/>
  <c r="U24" i="8"/>
  <c r="V24" i="8" s="1"/>
  <c r="X24" i="8" s="1"/>
  <c r="Y24" i="8" s="1"/>
  <c r="Z24" i="8" s="1"/>
  <c r="U82" i="8"/>
  <c r="V82" i="8" s="1"/>
  <c r="X82" i="8" s="1"/>
  <c r="Y82" i="8" s="1"/>
  <c r="Z82" i="8" s="1"/>
  <c r="U79" i="8"/>
  <c r="V79" i="8" s="1"/>
  <c r="X79" i="8" s="1"/>
  <c r="Y79" i="8" s="1"/>
  <c r="Z79" i="8" s="1"/>
  <c r="U21" i="8"/>
  <c r="V21" i="8" s="1"/>
  <c r="X21" i="8" s="1"/>
  <c r="Y21" i="8" s="1"/>
  <c r="Z21" i="8" s="1"/>
  <c r="U13" i="8"/>
  <c r="V13" i="8" s="1"/>
  <c r="X13" i="8" s="1"/>
  <c r="Y13" i="8" s="1"/>
  <c r="Z13" i="8" s="1"/>
  <c r="U12" i="8"/>
  <c r="V12" i="8" s="1"/>
  <c r="X12" i="8" s="1"/>
  <c r="Y12" i="8" s="1"/>
  <c r="Z12" i="8" s="1"/>
  <c r="U75" i="8"/>
  <c r="V75" i="8" s="1"/>
  <c r="X75" i="8" s="1"/>
  <c r="Y75" i="8" s="1"/>
  <c r="Z75" i="8" s="1"/>
  <c r="U72" i="8"/>
  <c r="V72" i="8" s="1"/>
  <c r="X72" i="8" s="1"/>
  <c r="Y72" i="8" s="1"/>
  <c r="Z72" i="8" s="1"/>
  <c r="U20" i="8"/>
  <c r="V20" i="8" s="1"/>
  <c r="X20" i="8" s="1"/>
  <c r="Y20" i="8" s="1"/>
  <c r="Z20" i="8" s="1"/>
  <c r="U71" i="8"/>
  <c r="V71" i="8" s="1"/>
  <c r="X71" i="8" s="1"/>
  <c r="Y71" i="8" s="1"/>
  <c r="Z71" i="8" s="1"/>
  <c r="U19" i="8"/>
  <c r="V19" i="8" s="1"/>
  <c r="X19" i="8" s="1"/>
  <c r="Y19" i="8" s="1"/>
  <c r="Z19" i="8" s="1"/>
  <c r="U66" i="8"/>
  <c r="V66" i="8" s="1"/>
  <c r="X66" i="8" s="1"/>
  <c r="Y66" i="8" s="1"/>
  <c r="Z66" i="8" s="1"/>
  <c r="U18" i="8"/>
  <c r="V18" i="8" s="1"/>
  <c r="X18" i="8" s="1"/>
  <c r="Y18" i="8" s="1"/>
  <c r="Z18" i="8" s="1"/>
  <c r="U29" i="8"/>
  <c r="V29" i="8" s="1"/>
  <c r="X29" i="8" s="1"/>
  <c r="Y29" i="8" s="1"/>
  <c r="Z29" i="8" s="1"/>
  <c r="U17" i="8"/>
  <c r="V17" i="8" s="1"/>
  <c r="X17" i="8" s="1"/>
  <c r="Y17" i="8" s="1"/>
  <c r="Z17" i="8" s="1"/>
  <c r="U61" i="8"/>
  <c r="V61" i="8" s="1"/>
  <c r="X61" i="8" s="1"/>
  <c r="Y61" i="8" s="1"/>
  <c r="Z61" i="8" s="1"/>
  <c r="U16" i="8"/>
  <c r="V16" i="8" s="1"/>
  <c r="X16" i="8" s="1"/>
  <c r="Y16" i="8" s="1"/>
  <c r="Z16" i="8" s="1"/>
  <c r="U56" i="8"/>
  <c r="V56" i="8" s="1"/>
  <c r="X56" i="8" s="1"/>
  <c r="Y56" i="8" s="1"/>
  <c r="Z56" i="8" s="1"/>
  <c r="U55" i="8"/>
  <c r="V55" i="8" s="1"/>
  <c r="X55" i="8" s="1"/>
  <c r="Y55" i="8" s="1"/>
  <c r="Z55" i="8" s="1"/>
  <c r="U54" i="8"/>
  <c r="V54" i="8" s="1"/>
  <c r="X54" i="8" s="1"/>
  <c r="Y54" i="8" s="1"/>
  <c r="Z54" i="8" s="1"/>
  <c r="U53" i="8"/>
  <c r="V53" i="8" s="1"/>
  <c r="X53" i="8" s="1"/>
  <c r="Y53" i="8" s="1"/>
  <c r="Z53" i="8" s="1"/>
  <c r="U15" i="8"/>
  <c r="V15" i="8" s="1"/>
  <c r="X15" i="8" s="1"/>
  <c r="Y15" i="8" s="1"/>
  <c r="Z15" i="8" s="1"/>
  <c r="U52" i="8"/>
  <c r="V52" i="8" s="1"/>
  <c r="X52" i="8" s="1"/>
  <c r="Y52" i="8" s="1"/>
  <c r="Z52" i="8" s="1"/>
  <c r="U14" i="8"/>
  <c r="V14" i="8" s="1"/>
  <c r="X14" i="8" s="1"/>
  <c r="Y14" i="8" s="1"/>
  <c r="Z14" i="8" s="1"/>
  <c r="U43" i="8"/>
  <c r="V43" i="8" s="1"/>
  <c r="X43" i="8" s="1"/>
  <c r="Y43" i="8" s="1"/>
  <c r="Z43" i="8" s="1"/>
  <c r="U39" i="8"/>
  <c r="V39" i="8" s="1"/>
  <c r="X39" i="8" s="1"/>
  <c r="Y39" i="8" s="1"/>
  <c r="Z39" i="8" s="1"/>
  <c r="U38" i="8"/>
  <c r="V38" i="8" s="1"/>
  <c r="X38" i="8" s="1"/>
  <c r="Y38" i="8" s="1"/>
  <c r="Z38" i="8" s="1"/>
  <c r="U10" i="8"/>
  <c r="V10" i="8" s="1"/>
  <c r="X10" i="8" s="1"/>
  <c r="Y10" i="8" s="1"/>
  <c r="Z10" i="8" s="1"/>
  <c r="U37" i="8"/>
  <c r="V37" i="8" s="1"/>
  <c r="X37" i="8" s="1"/>
  <c r="Y37" i="8" s="1"/>
  <c r="Z37" i="8" s="1"/>
  <c r="U9" i="8"/>
  <c r="V9" i="8" s="1"/>
  <c r="X9" i="8" s="1"/>
  <c r="Y9" i="8" s="1"/>
  <c r="Z9" i="8" s="1"/>
  <c r="U34" i="8"/>
  <c r="V34" i="8" s="1"/>
  <c r="X34" i="8" s="1"/>
  <c r="Y34" i="8" s="1"/>
  <c r="Z34" i="8" s="1"/>
  <c r="U8" i="8"/>
  <c r="V8" i="8" s="1"/>
  <c r="X8" i="8" s="1"/>
  <c r="Y8" i="8" s="1"/>
  <c r="Z8" i="8" s="1"/>
  <c r="U101" i="8"/>
  <c r="V101" i="8" s="1"/>
  <c r="X101" i="8" s="1"/>
  <c r="Y101" i="8" s="1"/>
  <c r="Z101" i="8" s="1"/>
  <c r="U7" i="8"/>
  <c r="V7" i="8" s="1"/>
  <c r="X7" i="8" s="1"/>
  <c r="Y7" i="8" s="1"/>
  <c r="Z7" i="8" s="1"/>
  <c r="U100" i="8"/>
  <c r="V100" i="8" s="1"/>
  <c r="X100" i="8" s="1"/>
  <c r="Y100" i="8" s="1"/>
  <c r="Z100" i="8" s="1"/>
  <c r="U23" i="8"/>
  <c r="V23" i="8" s="1"/>
  <c r="X23" i="8" s="1"/>
  <c r="Y23" i="8" s="1"/>
  <c r="Z23" i="8" s="1"/>
  <c r="U22" i="8"/>
  <c r="V22" i="8" s="1"/>
  <c r="X22" i="8" s="1"/>
  <c r="Y22" i="8" s="1"/>
  <c r="Z22" i="8" s="1"/>
  <c r="U30" i="8"/>
  <c r="V30" i="8" s="1"/>
  <c r="X30" i="8" s="1"/>
  <c r="Y30" i="8" s="1"/>
  <c r="Z30" i="8" s="1"/>
  <c r="B15" i="9" l="1"/>
  <c r="B16" i="9" s="1"/>
  <c r="B17" i="9" s="1" a="1"/>
  <c r="B17" i="9" s="1"/>
  <c r="B19" i="9" s="1"/>
  <c r="B23" i="10" s="1"/>
  <c r="B106" i="8"/>
  <c r="B105" i="8"/>
  <c r="Z2" i="8"/>
  <c r="B104" i="8" s="1"/>
  <c r="B15" i="10" l="1"/>
  <c r="B4" i="10"/>
  <c r="H8" i="10" l="1"/>
  <c r="O6" i="10" s="1"/>
  <c r="O4" i="10" l="1"/>
  <c r="O5" i="10"/>
  <c r="P5" i="10"/>
  <c r="P6" i="10"/>
  <c r="P4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<sst xmlns="http://schemas.openxmlformats.org/spreadsheetml/2006/main" count="1072" uniqueCount="212">
  <si>
    <t>Insurance Pricing Engine - Excel Cross-Validation</t>
  </si>
  <si>
    <t>Purpose</t>
  </si>
  <si>
    <t>Replicates the Python pricing pipeline in Excel to validate model outputs and stress-test commercial loadings.</t>
  </si>
  <si>
    <t>Sheet</t>
  </si>
  <si>
    <t>Description</t>
  </si>
  <si>
    <t>Scalars</t>
  </si>
  <si>
    <t>Off-balance factor and key hyperparameters (read-only reference).</t>
  </si>
  <si>
    <t>Coef_Freq</t>
  </si>
  <si>
    <t>Poisson GLM intercept and dummy-variable coefficients.</t>
  </si>
  <si>
    <t>Coef_Sev</t>
  </si>
  <si>
    <t>Gamma GLM intercept and dummy-variable coefficients.</t>
  </si>
  <si>
    <t>Encoder_Map</t>
  </si>
  <si>
    <t>Reference level dropped by OneHotEncoder per categorical feature. A policy whose value equals the reference contributes 0 to the sum.</t>
  </si>
  <si>
    <t>Knots</t>
  </si>
  <si>
    <t>Isotonic calibration breakpoints. Excel interpolates linearly between them.</t>
  </si>
  <si>
    <t>Loadings</t>
  </si>
  <si>
    <t>Commercial loading multipliers. EDIT THESE (yellow cells) to flex pricing and watch Reconcile!Excel_Final_Price respond.</t>
  </si>
  <si>
    <t>Reconcile</t>
  </si>
  <si>
    <t>100 test policies. Compares Excel-computed Final Price to Python's, with % difference and a Match flag. Successful reconciliation = all diffs under ~0.01% (floating-point precision).</t>
  </si>
  <si>
    <t>Color key</t>
  </si>
  <si>
    <t>Blue = input you can edit | Black = formula | Green = cross-sheet link | Yellow fill = editable loading</t>
  </si>
  <si>
    <t>Regenerate</t>
  </si>
  <si>
    <t>If the underlying Python model changes, rerun: python src/export_model_artifacts.py &amp;&amp; python src/build_excel_engine.py</t>
  </si>
  <si>
    <t>Key</t>
  </si>
  <si>
    <t>Value</t>
  </si>
  <si>
    <t>off_balance_factor</t>
  </si>
  <si>
    <t>gini_technical</t>
  </si>
  <si>
    <t>gini_commercial</t>
  </si>
  <si>
    <t>avg_premium</t>
  </si>
  <si>
    <t>calibration_cap_threshold</t>
  </si>
  <si>
    <t>severity_cap_percentile</t>
  </si>
  <si>
    <t>test_size</t>
  </si>
  <si>
    <t>random_state</t>
  </si>
  <si>
    <t>glm_alpha</t>
  </si>
  <si>
    <t>encoded_feature</t>
  </si>
  <si>
    <t>coefficient</t>
  </si>
  <si>
    <t>_intercept_</t>
  </si>
  <si>
    <t>VehBrand_Bin_B2</t>
  </si>
  <si>
    <t>VehBrand_Bin_B3</t>
  </si>
  <si>
    <t>VehBrand_Bin_B5</t>
  </si>
  <si>
    <t>VehBrand_Bin_Other</t>
  </si>
  <si>
    <t>VehGas_'Regular'</t>
  </si>
  <si>
    <t>Region_R21</t>
  </si>
  <si>
    <t>Region_R22</t>
  </si>
  <si>
    <t>Region_R23</t>
  </si>
  <si>
    <t>Region_R24</t>
  </si>
  <si>
    <t>Region_R25</t>
  </si>
  <si>
    <t>Region_R26</t>
  </si>
  <si>
    <t>Region_R31</t>
  </si>
  <si>
    <t>Region_R41</t>
  </si>
  <si>
    <t>Region_R42</t>
  </si>
  <si>
    <t>Region_R43</t>
  </si>
  <si>
    <t>Region_R52</t>
  </si>
  <si>
    <t>Region_R53</t>
  </si>
  <si>
    <t>Region_R54</t>
  </si>
  <si>
    <t>Region_R72</t>
  </si>
  <si>
    <t>Region_R73</t>
  </si>
  <si>
    <t>Region_R74</t>
  </si>
  <si>
    <t>Region_R82</t>
  </si>
  <si>
    <t>Region_R83</t>
  </si>
  <si>
    <t>Region_R91</t>
  </si>
  <si>
    <t>Region_R93</t>
  </si>
  <si>
    <t>Region_R94</t>
  </si>
  <si>
    <t>Area_B</t>
  </si>
  <si>
    <t>Area_C</t>
  </si>
  <si>
    <t>Area_D</t>
  </si>
  <si>
    <t>Area_E</t>
  </si>
  <si>
    <t>Area_F</t>
  </si>
  <si>
    <t>VehPower_Bin_4</t>
  </si>
  <si>
    <t>VehPower_Bin_5</t>
  </si>
  <si>
    <t>VehPower_Bin_6</t>
  </si>
  <si>
    <t>VehPower_Bin_7</t>
  </si>
  <si>
    <t>VehPower_Bin_8</t>
  </si>
  <si>
    <t>VehPower_Bin_9</t>
  </si>
  <si>
    <t>VehAge_Bin_2-4</t>
  </si>
  <si>
    <t>VehAge_Bin_20+</t>
  </si>
  <si>
    <t>VehAge_Bin_5-10</t>
  </si>
  <si>
    <t>VehAge_Bin_New (0-1)</t>
  </si>
  <si>
    <t>DriverAge_Bin_22-25</t>
  </si>
  <si>
    <t>DriverAge_Bin_26-30</t>
  </si>
  <si>
    <t>DriverAge_Bin_31-40</t>
  </si>
  <si>
    <t>DriverAge_Bin_41-50</t>
  </si>
  <si>
    <t>DriverAge_Bin_51-60</t>
  </si>
  <si>
    <t>DriverAge_Bin_61-75</t>
  </si>
  <si>
    <t>DriverAge_Bin_75+</t>
  </si>
  <si>
    <t>feature</t>
  </si>
  <si>
    <t>reference_level</t>
  </si>
  <si>
    <t>non_reference_levels</t>
  </si>
  <si>
    <t>VehBrand_Bin</t>
  </si>
  <si>
    <t>B1</t>
  </si>
  <si>
    <t>B2|B3|B5|Other</t>
  </si>
  <si>
    <t>VehGas</t>
  </si>
  <si>
    <t>'Diesel'</t>
  </si>
  <si>
    <t>'Regular'</t>
  </si>
  <si>
    <t>Region</t>
  </si>
  <si>
    <t>R11</t>
  </si>
  <si>
    <t>R21|R22|R23|R24|R25|R26|R31|R41|R42|R43|R52|R53|R54|R72|R73|R74|R82|R83|R91|R93|R94</t>
  </si>
  <si>
    <t>Area</t>
  </si>
  <si>
    <t>A</t>
  </si>
  <si>
    <t>B|C|D|E|F</t>
  </si>
  <si>
    <t>VehPower_Bin</t>
  </si>
  <si>
    <t>10+</t>
  </si>
  <si>
    <t>4|5|6|7|8|9</t>
  </si>
  <si>
    <t>VehAge_Bin</t>
  </si>
  <si>
    <t>11-20</t>
  </si>
  <si>
    <t>2-4|20+|5-10|New (0-1)</t>
  </si>
  <si>
    <t>DriverAge_Bin</t>
  </si>
  <si>
    <t>18-21</t>
  </si>
  <si>
    <t>22-25|26-30|31-40|41-50|51-60|61-75|75+</t>
  </si>
  <si>
    <t>x</t>
  </si>
  <si>
    <t>y</t>
  </si>
  <si>
    <t>bin</t>
  </si>
  <si>
    <t>multiplier</t>
  </si>
  <si>
    <t>key (helper)</t>
  </si>
  <si>
    <t>22-25</t>
  </si>
  <si>
    <t>New (0-1)</t>
  </si>
  <si>
    <t>5-10</t>
  </si>
  <si>
    <t>20+</t>
  </si>
  <si>
    <t>9</t>
  </si>
  <si>
    <t>4</t>
  </si>
  <si>
    <t>original_index</t>
  </si>
  <si>
    <t>DriverAge</t>
  </si>
  <si>
    <t>VehAge</t>
  </si>
  <si>
    <t>VehPower</t>
  </si>
  <si>
    <t>VehBrand</t>
  </si>
  <si>
    <t>Exposure</t>
  </si>
  <si>
    <t>ClaimNb</t>
  </si>
  <si>
    <t>TotalLoss</t>
  </si>
  <si>
    <t>Excel_PredFreq</t>
  </si>
  <si>
    <t>Excel_PredSev</t>
  </si>
  <si>
    <t>Excel_PurePremium_Raw</t>
  </si>
  <si>
    <t>Excel_PurePremium_OB</t>
  </si>
  <si>
    <t>Excel_PurePremium_Calibrated</t>
  </si>
  <si>
    <t>Excel_LoadingMult</t>
  </si>
  <si>
    <t>Excel_Final_Price</t>
  </si>
  <si>
    <t>Py_Final_Price</t>
  </si>
  <si>
    <t>Diff</t>
  </si>
  <si>
    <t>Pct_Diff</t>
  </si>
  <si>
    <t>Match</t>
  </si>
  <si>
    <t>B3</t>
  </si>
  <si>
    <t>R24</t>
  </si>
  <si>
    <t>C</t>
  </si>
  <si>
    <t>6</t>
  </si>
  <si>
    <t>31-40</t>
  </si>
  <si>
    <t>B12</t>
  </si>
  <si>
    <t>Other</t>
  </si>
  <si>
    <t>E</t>
  </si>
  <si>
    <t>41-50</t>
  </si>
  <si>
    <t>R93</t>
  </si>
  <si>
    <t>7</t>
  </si>
  <si>
    <t>B2</t>
  </si>
  <si>
    <t>5</t>
  </si>
  <si>
    <t>R53</t>
  </si>
  <si>
    <t>61-75</t>
  </si>
  <si>
    <t>R52</t>
  </si>
  <si>
    <t>2-4</t>
  </si>
  <si>
    <t>51-60</t>
  </si>
  <si>
    <t>B</t>
  </si>
  <si>
    <t>B5</t>
  </si>
  <si>
    <t>B10</t>
  </si>
  <si>
    <t>R83</t>
  </si>
  <si>
    <t>R82</t>
  </si>
  <si>
    <t>26-30</t>
  </si>
  <si>
    <t>B4</t>
  </si>
  <si>
    <t>B6</t>
  </si>
  <si>
    <t>D</t>
  </si>
  <si>
    <t>8</t>
  </si>
  <si>
    <t>B11</t>
  </si>
  <si>
    <t>R22</t>
  </si>
  <si>
    <t>R94</t>
  </si>
  <si>
    <t>R31</t>
  </si>
  <si>
    <t>R25</t>
  </si>
  <si>
    <t>F</t>
  </si>
  <si>
    <t>R26</t>
  </si>
  <si>
    <t>B14</t>
  </si>
  <si>
    <t>R73</t>
  </si>
  <si>
    <t>B13</t>
  </si>
  <si>
    <t>R91</t>
  </si>
  <si>
    <t>R74</t>
  </si>
  <si>
    <t>R72</t>
  </si>
  <si>
    <t>75+</t>
  </si>
  <si>
    <t>R21</t>
  </si>
  <si>
    <t>SUMMARY</t>
  </si>
  <si>
    <t>Pass count</t>
  </si>
  <si>
    <t>Max |Pct_Diff|</t>
  </si>
  <si>
    <t>Mean |Pct_Diff|</t>
  </si>
  <si>
    <t>Sample Policy</t>
  </si>
  <si>
    <t>Input Features</t>
  </si>
  <si>
    <t xml:space="preserve">Output (Excel-computed) </t>
  </si>
  <si>
    <t>PredFreq</t>
  </si>
  <si>
    <t>PredSev</t>
  </si>
  <si>
    <t>PurePrenium_Raw</t>
  </si>
  <si>
    <t>PurePrenium_OB</t>
  </si>
  <si>
    <t>PurePrenium_Calibrated</t>
  </si>
  <si>
    <t>LoadingMult</t>
  </si>
  <si>
    <t>Final_Price</t>
  </si>
  <si>
    <t>Regular</t>
  </si>
  <si>
    <t>One-Way Sensitivity</t>
  </si>
  <si>
    <t>Bin</t>
  </si>
  <si>
    <t>VehAge_Bin Sweep</t>
  </si>
  <si>
    <t>DriverAge_Bin Sweep</t>
  </si>
  <si>
    <t>VehPower_Bin Sweep</t>
  </si>
  <si>
    <t>Bin Names</t>
  </si>
  <si>
    <t>Feature</t>
  </si>
  <si>
    <t>Min</t>
  </si>
  <si>
    <t>Max</t>
  </si>
  <si>
    <t>Swing</t>
  </si>
  <si>
    <t>Min Bin</t>
  </si>
  <si>
    <t>Max Bin</t>
  </si>
  <si>
    <t>Baseline</t>
  </si>
  <si>
    <t>Left bar</t>
  </si>
  <si>
    <t>Right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</si>
</sst>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0%"/>
  </numFmts>
  <fonts count="1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 Unicode MS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5" fillId="0" borderId="0" xfId="0" applyFont="1"/>
    <xf numFmtId="164" fontId="3" fillId="0" borderId="0" xfId="0" applyNumberFormat="1" applyFont="1"/>
    <xf numFmtId="164" fontId="0" fillId="0" borderId="0" xfId="0" applyNumberFormat="1"/>
    <xf numFmtId="165" fontId="0" fillId="0" borderId="0" xfId="0" applyNumberFormat="1"/>
    <xf numFmtId="165" fontId="5" fillId="3" borderId="0" xfId="0" applyNumberFormat="1" applyFont="1" applyFill="1"/>
    <xf numFmtId="2" fontId="0" fillId="0" borderId="0" xfId="0" applyNumberFormat="1"/>
    <xf numFmtId="166" fontId="0" fillId="0" borderId="0" xfId="0" applyNumberFormat="1"/>
    <xf numFmtId="0" fontId="1" fillId="0" borderId="0" xfId="0" applyFont="1"/>
    <xf numFmtId="0" fontId="0" fillId="0" borderId="0" xfId="0"/>
    <xf numFmtId="0" fontId="6" fillId="0" borderId="0" xfId="0" applyFont="1"/>
    <xf numFmtId="0" fontId="7" fillId="4" borderId="0" xfId="0" applyFont="1" applyFill="1"/>
    <xf numFmtId="49" fontId="7" fillId="4" borderId="0" xfId="0" applyNumberFormat="1" applyFont="1" applyFill="1"/>
    <xf numFmtId="0" fontId="8" fillId="2" borderId="1" xfId="0" applyFont="1" applyFill="1" applyBorder="1" applyAlignment="1">
      <alignment horizontal="center" vertical="center"/>
    </xf>
    <xf numFmtId="0" fontId="0" fillId="0" borderId="0" xfId="0" applyFont="1"/>
    <xf numFmtId="49" fontId="0" fillId="0" borderId="0" xfId="0" applyNumberFormat="1"/>
    <xf numFmtId="0" fontId="9" fillId="0" borderId="0" xfId="0" applyFont="1"/>
    <xf numFmtId="0" fontId="10" fillId="0" borderId="0" xfId="0" applyFont="1"/>
    <xf numFmtId="2" fontId="9" fillId="0" borderId="0" xfId="0" applyNumberFormat="1" applyFont="1"/>
    <xf numFmtId="0" fontId="0" fillId="0" borderId="0" xfId="0" applyNumberFormat="1"/>
    <xf numFmtId="2" fontId="6" fillId="0" borderId="0" xfId="0" applyNumberFormat="1" applyFont="1"/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Tornado: One-Way Price Sensitivity at Baseline 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31255468066492E-2"/>
          <c:y val="0.17171296296296298"/>
          <c:w val="0.86542366579177599"/>
          <c:h val="0.6149843248760571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Sensitivity_OneWay!$O$3</c:f>
              <c:strCache>
                <c:ptCount val="1"/>
                <c:pt idx="0">
                  <c:v>Left bar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Sensitivity_OneWay!$N$4:$N$6</c:f>
              <c:strCache>
                <c:ptCount val="3"/>
                <c:pt idx="0">
                  <c:v>DriverAge_Bin</c:v>
                </c:pt>
                <c:pt idx="1">
                  <c:v>VehAge_Bin</c:v>
                </c:pt>
                <c:pt idx="2">
                  <c:v>VehPower_Bin</c:v>
                </c:pt>
              </c:strCache>
            </c:strRef>
          </c:cat>
          <c:val>
            <c:numRef>
              <c:f>Sensitivity_OneWay!$O$4:$O$6</c:f>
              <c:numCache>
                <c:formatCode>0.00</c:formatCode>
                <c:ptCount val="3"/>
                <c:pt idx="0">
                  <c:v>0</c:v>
                </c:pt>
                <c:pt idx="1">
                  <c:v>-49.035154606637406</c:v>
                </c:pt>
                <c:pt idx="2">
                  <c:v>-23.663469521811351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4-4A25-BDB9-CF985C9FDCB4}"/>
            </c:ext>
          </c:extLst>
        </c:ser>
        <c:ser>
          <c:idx val="1"/>
          <c:order val="1"/>
          <c:tx>
            <c:strRef>
              <c:f>Sensitivity_OneWay!$P$3</c:f>
              <c:strCache>
                <c:ptCount val="1"/>
                <c:pt idx="0">
                  <c:v>Right 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Sensitivity_OneWay!$N$4:$N$6</c:f>
              <c:strCache>
                <c:ptCount val="3"/>
                <c:pt idx="0">
                  <c:v>DriverAge_Bin</c:v>
                </c:pt>
                <c:pt idx="1">
                  <c:v>VehAge_Bin</c:v>
                </c:pt>
                <c:pt idx="2">
                  <c:v>VehPower_Bin</c:v>
                </c:pt>
              </c:strCache>
            </c:strRef>
          </c:cat>
          <c:val>
            <c:numRef>
              <c:f>Sensitivity_OneWay!$P$4:$P$6</c:f>
              <c:numCache>
                <c:formatCode>0.00</c:formatCode>
                <c:ptCount val="3"/>
                <c:pt idx="0">
                  <c:v>230.37096579554486</c:v>
                </c:pt>
                <c:pt idx="1">
                  <c:v>12.154654129045127</c:v>
                </c:pt>
                <c:pt idx="2">
                  <c:v>10.836670427921078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4-4A25-BDB9-CF985C9FD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7523824"/>
        <c:axId val="1757525264"/>
      </c:barChart>
      <c:catAx>
        <c:axId val="17575238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525264"/>
        <c:crossesAt val="-80"/>
        <c:auto val="1"/>
        <c:lblAlgn val="ctr"/>
        <c:lblOffset val="100"/>
        <c:noMultiLvlLbl val="0"/>
      </c:catAx>
      <c:valAx>
        <c:axId val="175752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52382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7142</xdr:colOff>
      <xdr:row>9</xdr:row>
      <xdr:rowOff>28575</xdr:rowOff>
    </xdr:from>
    <xdr:to>
      <xdr:col>12</xdr:col>
      <xdr:colOff>469105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DBA16F-C5BC-D5C9-13B3-590FF9C60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defaultRowHeight="14.25"/>
  <cols>
    <col min="1" max="1" width="18" customWidth="1"/>
    <col min="2" max="2" width="90" customWidth="1"/>
  </cols>
  <sheetData>
    <row r="1" spans="1:2" ht="17.649999999999999">
      <c r="A1" s="13" t="s">
        <v>0</v>
      </c>
      <c r="B1" s="14"/>
    </row>
    <row r="2" spans="1:2" ht="18" customHeight="1">
      <c r="A2" s="1"/>
      <c r="B2" s="2"/>
    </row>
    <row r="3" spans="1:2" ht="30" customHeight="1">
      <c r="A3" s="3" t="s">
        <v>1</v>
      </c>
      <c r="B3" s="2" t="s">
        <v>2</v>
      </c>
    </row>
    <row r="4" spans="1:2" ht="18" customHeight="1">
      <c r="A4" s="1"/>
      <c r="B4" s="2"/>
    </row>
    <row r="5" spans="1:2" ht="18" customHeight="1">
      <c r="A5" s="3" t="s">
        <v>3</v>
      </c>
      <c r="B5" s="2" t="s">
        <v>4</v>
      </c>
    </row>
    <row r="6" spans="1:2" ht="18" customHeight="1">
      <c r="A6" s="1" t="s">
        <v>5</v>
      </c>
      <c r="B6" s="2" t="s">
        <v>6</v>
      </c>
    </row>
    <row r="7" spans="1:2" ht="18" customHeight="1">
      <c r="A7" s="1" t="s">
        <v>7</v>
      </c>
      <c r="B7" s="2" t="s">
        <v>8</v>
      </c>
    </row>
    <row r="8" spans="1:2" ht="18" customHeight="1">
      <c r="A8" s="1" t="s">
        <v>9</v>
      </c>
      <c r="B8" s="2" t="s">
        <v>10</v>
      </c>
    </row>
    <row r="9" spans="1:2" ht="30" customHeight="1">
      <c r="A9" s="1" t="s">
        <v>11</v>
      </c>
      <c r="B9" s="2" t="s">
        <v>12</v>
      </c>
    </row>
    <row r="10" spans="1:2" ht="18" customHeight="1">
      <c r="A10" s="1" t="s">
        <v>13</v>
      </c>
      <c r="B10" s="2" t="s">
        <v>14</v>
      </c>
    </row>
    <row r="11" spans="1:2" ht="30" customHeight="1">
      <c r="A11" s="1" t="s">
        <v>15</v>
      </c>
      <c r="B11" s="2" t="s">
        <v>16</v>
      </c>
    </row>
    <row r="12" spans="1:2" ht="30" customHeight="1">
      <c r="A12" s="1" t="s">
        <v>17</v>
      </c>
      <c r="B12" s="2" t="s">
        <v>18</v>
      </c>
    </row>
    <row r="13" spans="1:2" ht="18" customHeight="1">
      <c r="A13" s="1"/>
      <c r="B13" s="2"/>
    </row>
    <row r="14" spans="1:2" ht="30" customHeight="1">
      <c r="A14" s="3" t="s">
        <v>19</v>
      </c>
      <c r="B14" s="2" t="s">
        <v>20</v>
      </c>
    </row>
    <row r="15" spans="1:2" ht="18" customHeight="1">
      <c r="A15" s="1"/>
      <c r="B15" s="2"/>
    </row>
    <row r="16" spans="1:2" ht="30" customHeight="1">
      <c r="A16" s="3" t="s">
        <v>21</v>
      </c>
      <c r="B16" s="2" t="s">
        <v>22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/>
  <cols>
    <col min="1" max="1" width="28" customWidth="1"/>
    <col min="2" max="2" width="16" customWidth="1"/>
  </cols>
  <sheetData>
    <row r="1" spans="1:2">
      <c r="A1" s="4" t="s">
        <v>23</v>
      </c>
      <c r="B1" s="4" t="s">
        <v>24</v>
      </c>
    </row>
    <row r="2" spans="1:2">
      <c r="A2" s="3" t="s">
        <v>25</v>
      </c>
      <c r="B2" s="5">
        <v>0.81567068320088576</v>
      </c>
    </row>
    <row r="3" spans="1:2">
      <c r="A3" s="3" t="s">
        <v>26</v>
      </c>
      <c r="B3" s="5">
        <v>0.42654371601098218</v>
      </c>
    </row>
    <row r="4" spans="1:2">
      <c r="A4" s="3" t="s">
        <v>27</v>
      </c>
      <c r="B4" s="5">
        <v>0.48115062327007191</v>
      </c>
    </row>
    <row r="5" spans="1:2">
      <c r="A5" s="3" t="s">
        <v>28</v>
      </c>
      <c r="B5" s="5">
        <v>115.64596553388991</v>
      </c>
    </row>
    <row r="6" spans="1:2">
      <c r="A6" s="3" t="s">
        <v>29</v>
      </c>
      <c r="B6" s="6">
        <v>15000</v>
      </c>
    </row>
    <row r="7" spans="1:2">
      <c r="A7" s="3" t="s">
        <v>30</v>
      </c>
      <c r="B7" s="5">
        <v>0.999</v>
      </c>
    </row>
    <row r="8" spans="1:2">
      <c r="A8" s="3" t="s">
        <v>31</v>
      </c>
      <c r="B8" s="5">
        <v>0.2</v>
      </c>
    </row>
    <row r="9" spans="1:2">
      <c r="A9" s="3" t="s">
        <v>32</v>
      </c>
      <c r="B9" s="6">
        <v>42</v>
      </c>
    </row>
    <row r="10" spans="1:2">
      <c r="A10" s="3" t="s">
        <v>33</v>
      </c>
      <c r="B10" s="5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topLeftCell="A16" workbookViewId="0"/>
  </sheetViews>
  <sheetFormatPr defaultRowHeight="14.25"/>
  <cols>
    <col min="1" max="1" width="38" customWidth="1"/>
    <col min="2" max="2" width="16" customWidth="1"/>
  </cols>
  <sheetData>
    <row r="1" spans="1:2">
      <c r="A1" s="4" t="s">
        <v>34</v>
      </c>
      <c r="B1" s="4" t="s">
        <v>35</v>
      </c>
    </row>
    <row r="2" spans="1:2">
      <c r="A2" s="3" t="s">
        <v>36</v>
      </c>
      <c r="B2" s="7">
        <v>-2.3978234181944948</v>
      </c>
    </row>
    <row r="3" spans="1:2">
      <c r="A3" t="s">
        <v>37</v>
      </c>
      <c r="B3" s="8">
        <v>-3.4902732654257501E-2</v>
      </c>
    </row>
    <row r="4" spans="1:2">
      <c r="A4" t="s">
        <v>38</v>
      </c>
      <c r="B4" s="8">
        <v>4.2227606227866997E-3</v>
      </c>
    </row>
    <row r="5" spans="1:2">
      <c r="A5" t="s">
        <v>39</v>
      </c>
      <c r="B5" s="8">
        <v>1.8190583034086601E-2</v>
      </c>
    </row>
    <row r="6" spans="1:2">
      <c r="A6" t="s">
        <v>40</v>
      </c>
      <c r="B6" s="8">
        <v>0.1157675140241429</v>
      </c>
    </row>
    <row r="7" spans="1:2">
      <c r="A7" t="s">
        <v>41</v>
      </c>
      <c r="B7" s="8">
        <v>4.6263643714247897E-2</v>
      </c>
    </row>
    <row r="8" spans="1:2">
      <c r="A8" t="s">
        <v>42</v>
      </c>
      <c r="B8" s="8">
        <v>7.0612062774325999E-3</v>
      </c>
    </row>
    <row r="9" spans="1:2">
      <c r="A9" t="s">
        <v>43</v>
      </c>
      <c r="B9" s="8">
        <v>9.1369292016497006E-3</v>
      </c>
    </row>
    <row r="10" spans="1:2">
      <c r="A10" t="s">
        <v>44</v>
      </c>
      <c r="B10" s="8">
        <v>-1.8498944426949999E-3</v>
      </c>
    </row>
    <row r="11" spans="1:2">
      <c r="A11" t="s">
        <v>45</v>
      </c>
      <c r="B11" s="8">
        <v>-3.5209695368279899E-2</v>
      </c>
    </row>
    <row r="12" spans="1:2">
      <c r="A12" t="s">
        <v>46</v>
      </c>
      <c r="B12" s="8">
        <v>4.5138509284951302E-5</v>
      </c>
    </row>
    <row r="13" spans="1:2">
      <c r="A13" t="s">
        <v>47</v>
      </c>
      <c r="B13" s="8">
        <v>1.8597519607282001E-3</v>
      </c>
    </row>
    <row r="14" spans="1:2">
      <c r="A14" t="s">
        <v>48</v>
      </c>
      <c r="B14" s="8">
        <v>-1.27114658571944E-2</v>
      </c>
    </row>
    <row r="15" spans="1:2">
      <c r="A15" t="s">
        <v>49</v>
      </c>
      <c r="B15" s="8">
        <v>-5.14997236191009E-2</v>
      </c>
    </row>
    <row r="16" spans="1:2">
      <c r="A16" t="s">
        <v>50</v>
      </c>
      <c r="B16" s="8">
        <v>2.1892298898639999E-4</v>
      </c>
    </row>
    <row r="17" spans="1:2">
      <c r="A17" t="s">
        <v>51</v>
      </c>
      <c r="B17" s="8">
        <v>1.1867257867096E-3</v>
      </c>
    </row>
    <row r="18" spans="1:2">
      <c r="A18" t="s">
        <v>52</v>
      </c>
      <c r="B18" s="8">
        <v>-2.6265440320649199E-2</v>
      </c>
    </row>
    <row r="19" spans="1:2">
      <c r="A19" t="s">
        <v>53</v>
      </c>
      <c r="B19" s="8">
        <v>3.5306226530351001E-3</v>
      </c>
    </row>
    <row r="20" spans="1:2">
      <c r="A20" t="s">
        <v>54</v>
      </c>
      <c r="B20" s="8">
        <v>-2.83125401921181E-2</v>
      </c>
    </row>
    <row r="21" spans="1:2">
      <c r="A21" t="s">
        <v>55</v>
      </c>
      <c r="B21" s="8">
        <v>-2.69466263554104E-2</v>
      </c>
    </row>
    <row r="22" spans="1:2">
      <c r="A22" t="s">
        <v>56</v>
      </c>
      <c r="B22" s="8">
        <v>-2.1248679473605502E-2</v>
      </c>
    </row>
    <row r="23" spans="1:2">
      <c r="A23" t="s">
        <v>57</v>
      </c>
      <c r="B23" s="8">
        <v>1.4497218301235001E-3</v>
      </c>
    </row>
    <row r="24" spans="1:2">
      <c r="A24" t="s">
        <v>58</v>
      </c>
      <c r="B24" s="8">
        <v>4.08976226314667E-2</v>
      </c>
    </row>
    <row r="25" spans="1:2">
      <c r="A25" t="s">
        <v>59</v>
      </c>
      <c r="B25" s="8">
        <v>-1.6610219718683698E-2</v>
      </c>
    </row>
    <row r="26" spans="1:2">
      <c r="A26" t="s">
        <v>60</v>
      </c>
      <c r="B26" s="8">
        <v>1.7154454615938999E-3</v>
      </c>
    </row>
    <row r="27" spans="1:2">
      <c r="A27" t="s">
        <v>61</v>
      </c>
      <c r="B27" s="8">
        <v>5.8521610781188003E-3</v>
      </c>
    </row>
    <row r="28" spans="1:2">
      <c r="A28" t="s">
        <v>62</v>
      </c>
      <c r="B28" s="8">
        <v>1.93154711082822E-2</v>
      </c>
    </row>
    <row r="29" spans="1:2">
      <c r="A29" t="s">
        <v>63</v>
      </c>
      <c r="B29" s="8">
        <v>-3.3098373561532501E-2</v>
      </c>
    </row>
    <row r="30" spans="1:2">
      <c r="A30" t="s">
        <v>64</v>
      </c>
      <c r="B30" s="8">
        <v>-1.97578456538904E-2</v>
      </c>
    </row>
    <row r="31" spans="1:2">
      <c r="A31" t="s">
        <v>65</v>
      </c>
      <c r="B31" s="8">
        <v>6.5783267674969295E-2</v>
      </c>
    </row>
    <row r="32" spans="1:2">
      <c r="A32" t="s">
        <v>66</v>
      </c>
      <c r="B32" s="8">
        <v>0.12879730750900459</v>
      </c>
    </row>
    <row r="33" spans="1:2">
      <c r="A33" t="s">
        <v>67</v>
      </c>
      <c r="B33" s="8">
        <v>5.57623260768269E-2</v>
      </c>
    </row>
    <row r="34" spans="1:2">
      <c r="A34" t="s">
        <v>68</v>
      </c>
      <c r="B34" s="8">
        <v>-5.5392939470539297E-2</v>
      </c>
    </row>
    <row r="35" spans="1:2">
      <c r="A35" t="s">
        <v>69</v>
      </c>
      <c r="B35" s="8">
        <v>4.6126580941733303E-2</v>
      </c>
    </row>
    <row r="36" spans="1:2">
      <c r="A36" t="s">
        <v>70</v>
      </c>
      <c r="B36" s="8">
        <v>4.13237162536646E-2</v>
      </c>
    </row>
    <row r="37" spans="1:2">
      <c r="A37" t="s">
        <v>71</v>
      </c>
      <c r="B37" s="8">
        <v>-1.88176642679324E-2</v>
      </c>
    </row>
    <row r="38" spans="1:2">
      <c r="A38" t="s">
        <v>72</v>
      </c>
      <c r="B38" s="8">
        <v>-7.8006462508278598E-2</v>
      </c>
    </row>
    <row r="39" spans="1:2">
      <c r="A39" t="s">
        <v>73</v>
      </c>
      <c r="B39" s="8">
        <v>3.9322108984680401E-2</v>
      </c>
    </row>
    <row r="40" spans="1:2">
      <c r="A40" t="s">
        <v>74</v>
      </c>
      <c r="B40" s="8">
        <v>-1.36929246572582E-2</v>
      </c>
    </row>
    <row r="41" spans="1:2">
      <c r="A41" t="s">
        <v>75</v>
      </c>
      <c r="B41" s="8">
        <v>-4.7065445484890903E-2</v>
      </c>
    </row>
    <row r="42" spans="1:2">
      <c r="A42" t="s">
        <v>76</v>
      </c>
      <c r="B42" s="8">
        <v>3.6700695596351599E-2</v>
      </c>
    </row>
    <row r="43" spans="1:2">
      <c r="A43" t="s">
        <v>77</v>
      </c>
      <c r="B43" s="8">
        <v>0.35226771068015178</v>
      </c>
    </row>
    <row r="44" spans="1:2">
      <c r="A44" t="s">
        <v>78</v>
      </c>
      <c r="B44" s="8">
        <v>0.11309115907408571</v>
      </c>
    </row>
    <row r="45" spans="1:2">
      <c r="A45" t="s">
        <v>79</v>
      </c>
      <c r="B45" s="8">
        <v>1.3351700879351001E-3</v>
      </c>
    </row>
    <row r="46" spans="1:2">
      <c r="A46" t="s">
        <v>80</v>
      </c>
      <c r="B46" s="8">
        <v>-0.11441054414141601</v>
      </c>
    </row>
    <row r="47" spans="1:2">
      <c r="A47" t="s">
        <v>81</v>
      </c>
      <c r="B47" s="8">
        <v>-6.5422245552755999E-3</v>
      </c>
    </row>
    <row r="48" spans="1:2">
      <c r="A48" t="s">
        <v>82</v>
      </c>
      <c r="B48" s="8">
        <v>-6.4546061758810197E-2</v>
      </c>
    </row>
    <row r="49" spans="1:2">
      <c r="A49" t="s">
        <v>83</v>
      </c>
      <c r="B49" s="8">
        <v>-7.1930974430760602E-2</v>
      </c>
    </row>
    <row r="50" spans="1:2">
      <c r="A50" t="s">
        <v>84</v>
      </c>
      <c r="B50" s="8">
        <v>-1.5314332766928699E-2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workbookViewId="0"/>
  </sheetViews>
  <sheetFormatPr defaultRowHeight="14.25"/>
  <cols>
    <col min="1" max="1" width="38" customWidth="1"/>
    <col min="2" max="2" width="16" customWidth="1"/>
  </cols>
  <sheetData>
    <row r="1" spans="1:2">
      <c r="A1" s="4" t="s">
        <v>34</v>
      </c>
      <c r="B1" s="4" t="s">
        <v>35</v>
      </c>
    </row>
    <row r="2" spans="1:2">
      <c r="A2" s="3" t="s">
        <v>36</v>
      </c>
      <c r="B2" s="7">
        <v>7.74882664722755</v>
      </c>
    </row>
    <row r="3" spans="1:2">
      <c r="A3" t="s">
        <v>37</v>
      </c>
      <c r="B3" s="8">
        <v>2.7563193106652201E-2</v>
      </c>
    </row>
    <row r="4" spans="1:2">
      <c r="A4" t="s">
        <v>38</v>
      </c>
      <c r="B4" s="8">
        <v>4.8982253468914903E-2</v>
      </c>
    </row>
    <row r="5" spans="1:2">
      <c r="A5" t="s">
        <v>39</v>
      </c>
      <c r="B5" s="8">
        <v>-3.0112210945393E-2</v>
      </c>
    </row>
    <row r="6" spans="1:2">
      <c r="A6" t="s">
        <v>40</v>
      </c>
      <c r="B6" s="8">
        <v>8.5081826149224604E-2</v>
      </c>
    </row>
    <row r="7" spans="1:2">
      <c r="A7" t="s">
        <v>41</v>
      </c>
      <c r="B7" s="8">
        <v>2.50152259921223E-2</v>
      </c>
    </row>
    <row r="8" spans="1:2">
      <c r="A8" t="s">
        <v>42</v>
      </c>
      <c r="B8" s="8">
        <v>0.28321518853983341</v>
      </c>
    </row>
    <row r="9" spans="1:2">
      <c r="A9" t="s">
        <v>43</v>
      </c>
      <c r="B9" s="8">
        <v>7.5408023984622402E-2</v>
      </c>
    </row>
    <row r="10" spans="1:2">
      <c r="A10" t="s">
        <v>44</v>
      </c>
      <c r="B10" s="8">
        <v>-7.64238923948172E-2</v>
      </c>
    </row>
    <row r="11" spans="1:2">
      <c r="A11" t="s">
        <v>45</v>
      </c>
      <c r="B11" s="8">
        <v>0.1051672759151638</v>
      </c>
    </row>
    <row r="12" spans="1:2">
      <c r="A12" t="s">
        <v>46</v>
      </c>
      <c r="B12" s="8">
        <v>7.9906270739584506E-2</v>
      </c>
    </row>
    <row r="13" spans="1:2">
      <c r="A13" t="s">
        <v>47</v>
      </c>
      <c r="B13" s="8">
        <v>3.7549279816994602E-2</v>
      </c>
    </row>
    <row r="14" spans="1:2">
      <c r="A14" t="s">
        <v>48</v>
      </c>
      <c r="B14" s="8">
        <v>-5.0834985674682302E-2</v>
      </c>
    </row>
    <row r="15" spans="1:2">
      <c r="A15" t="s">
        <v>49</v>
      </c>
      <c r="B15" s="8">
        <v>9.4892067512539202E-2</v>
      </c>
    </row>
    <row r="16" spans="1:2">
      <c r="A16" t="s">
        <v>50</v>
      </c>
      <c r="B16" s="8">
        <v>-7.2842751362124494E-2</v>
      </c>
    </row>
    <row r="17" spans="1:2">
      <c r="A17" t="s">
        <v>51</v>
      </c>
      <c r="B17" s="8">
        <v>1.9772501969976101E-2</v>
      </c>
    </row>
    <row r="18" spans="1:2">
      <c r="A18" t="s">
        <v>52</v>
      </c>
      <c r="B18" s="8">
        <v>-0.1102100972587922</v>
      </c>
    </row>
    <row r="19" spans="1:2">
      <c r="A19" t="s">
        <v>53</v>
      </c>
      <c r="B19" s="8">
        <v>6.2200423133292097E-2</v>
      </c>
    </row>
    <row r="20" spans="1:2">
      <c r="A20" t="s">
        <v>54</v>
      </c>
      <c r="B20" s="8">
        <v>-0.15386462220791861</v>
      </c>
    </row>
    <row r="21" spans="1:2">
      <c r="A21" t="s">
        <v>55</v>
      </c>
      <c r="B21" s="8">
        <v>2.3051292182247E-3</v>
      </c>
    </row>
    <row r="22" spans="1:2">
      <c r="A22" t="s">
        <v>56</v>
      </c>
      <c r="B22" s="8">
        <v>-0.14272204943873759</v>
      </c>
    </row>
    <row r="23" spans="1:2">
      <c r="A23" t="s">
        <v>57</v>
      </c>
      <c r="B23" s="8">
        <v>-0.146724871044567</v>
      </c>
    </row>
    <row r="24" spans="1:2">
      <c r="A24" t="s">
        <v>58</v>
      </c>
      <c r="B24" s="8">
        <v>4.2159563468879398E-2</v>
      </c>
    </row>
    <row r="25" spans="1:2">
      <c r="A25" t="s">
        <v>59</v>
      </c>
      <c r="B25" s="8">
        <v>-0.13817568041712089</v>
      </c>
    </row>
    <row r="26" spans="1:2">
      <c r="A26" t="s">
        <v>60</v>
      </c>
      <c r="B26" s="8">
        <v>6.2525249732077098E-2</v>
      </c>
    </row>
    <row r="27" spans="1:2">
      <c r="A27" t="s">
        <v>61</v>
      </c>
      <c r="B27" s="8">
        <v>0.18913430282539459</v>
      </c>
    </row>
    <row r="28" spans="1:2">
      <c r="A28" t="s">
        <v>62</v>
      </c>
      <c r="B28" s="8">
        <v>0.25072227848407769</v>
      </c>
    </row>
    <row r="29" spans="1:2">
      <c r="A29" t="s">
        <v>63</v>
      </c>
      <c r="B29" s="8">
        <v>-8.90077735523956E-2</v>
      </c>
    </row>
    <row r="30" spans="1:2">
      <c r="A30" t="s">
        <v>64</v>
      </c>
      <c r="B30" s="8">
        <v>-5.9137973527280098E-2</v>
      </c>
    </row>
    <row r="31" spans="1:2">
      <c r="A31" t="s">
        <v>65</v>
      </c>
      <c r="B31" s="8">
        <v>3.5283620411176997E-2</v>
      </c>
    </row>
    <row r="32" spans="1:2">
      <c r="A32" t="s">
        <v>66</v>
      </c>
      <c r="B32" s="8">
        <v>-9.7055546956663994E-3</v>
      </c>
    </row>
    <row r="33" spans="1:2">
      <c r="A33" t="s">
        <v>67</v>
      </c>
      <c r="B33" s="8">
        <v>-0.1256687480045193</v>
      </c>
    </row>
    <row r="34" spans="1:2">
      <c r="A34" t="s">
        <v>68</v>
      </c>
      <c r="B34" s="8">
        <v>-5.5953563306829199E-2</v>
      </c>
    </row>
    <row r="35" spans="1:2">
      <c r="A35" t="s">
        <v>69</v>
      </c>
      <c r="B35" s="8">
        <v>-0.16662282427768221</v>
      </c>
    </row>
    <row r="36" spans="1:2">
      <c r="A36" t="s">
        <v>70</v>
      </c>
      <c r="B36" s="8">
        <v>2.9099561696281299E-2</v>
      </c>
    </row>
    <row r="37" spans="1:2">
      <c r="A37" t="s">
        <v>71</v>
      </c>
      <c r="B37" s="8">
        <v>-4.1201624407899103E-2</v>
      </c>
    </row>
    <row r="38" spans="1:2">
      <c r="A38" t="s">
        <v>72</v>
      </c>
      <c r="B38" s="8">
        <v>-0.1117320108141186</v>
      </c>
    </row>
    <row r="39" spans="1:2">
      <c r="A39" t="s">
        <v>73</v>
      </c>
      <c r="B39" s="8">
        <v>-0.1482969782913893</v>
      </c>
    </row>
    <row r="40" spans="1:2">
      <c r="A40" t="s">
        <v>74</v>
      </c>
      <c r="B40" s="8">
        <v>7.0227415696236903E-2</v>
      </c>
    </row>
    <row r="41" spans="1:2">
      <c r="A41" t="s">
        <v>75</v>
      </c>
      <c r="B41" s="8">
        <v>1.6378475877966901E-2</v>
      </c>
    </row>
    <row r="42" spans="1:2">
      <c r="A42" t="s">
        <v>76</v>
      </c>
      <c r="B42" s="8">
        <v>-1.7809935857219301E-2</v>
      </c>
    </row>
    <row r="43" spans="1:2">
      <c r="A43" t="s">
        <v>77</v>
      </c>
      <c r="B43" s="8">
        <v>8.7410943127298094E-2</v>
      </c>
    </row>
    <row r="44" spans="1:2">
      <c r="A44" t="s">
        <v>78</v>
      </c>
      <c r="B44" s="8">
        <v>-0.1913042539073441</v>
      </c>
    </row>
    <row r="45" spans="1:2">
      <c r="A45" t="s">
        <v>79</v>
      </c>
      <c r="B45" s="8">
        <v>-0.23816853234468269</v>
      </c>
    </row>
    <row r="46" spans="1:2">
      <c r="A46" t="s">
        <v>80</v>
      </c>
      <c r="B46" s="8">
        <v>-0.23178448899330789</v>
      </c>
    </row>
    <row r="47" spans="1:2">
      <c r="A47" t="s">
        <v>81</v>
      </c>
      <c r="B47" s="8">
        <v>-0.34348712424629169</v>
      </c>
    </row>
    <row r="48" spans="1:2">
      <c r="A48" t="s">
        <v>82</v>
      </c>
      <c r="B48" s="8">
        <v>-0.25431624270900888</v>
      </c>
    </row>
    <row r="49" spans="1:2">
      <c r="A49" t="s">
        <v>83</v>
      </c>
      <c r="B49" s="8">
        <v>-0.16713312752921911</v>
      </c>
    </row>
    <row r="50" spans="1:2">
      <c r="A50" t="s">
        <v>84</v>
      </c>
      <c r="B50" s="8">
        <v>-7.3895441505061003E-3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E7" sqref="E7"/>
    </sheetView>
  </sheetViews>
  <sheetFormatPr defaultRowHeight="14.25"/>
  <cols>
    <col min="1" max="1" width="18" customWidth="1"/>
    <col min="2" max="2" width="16" customWidth="1"/>
    <col min="3" max="3" width="83.6640625" bestFit="1" customWidth="1"/>
  </cols>
  <sheetData>
    <row r="1" spans="1:5">
      <c r="A1" s="4" t="s">
        <v>85</v>
      </c>
      <c r="B1" s="4" t="s">
        <v>86</v>
      </c>
      <c r="C1" s="4" t="s">
        <v>87</v>
      </c>
    </row>
    <row r="2" spans="1:5">
      <c r="A2" s="3" t="s">
        <v>88</v>
      </c>
      <c r="B2" t="s">
        <v>89</v>
      </c>
      <c r="C2" t="s">
        <v>90</v>
      </c>
    </row>
    <row r="3" spans="1:5">
      <c r="A3" s="3" t="s">
        <v>91</v>
      </c>
      <c r="B3" t="s">
        <v>92</v>
      </c>
      <c r="C3" t="s">
        <v>93</v>
      </c>
    </row>
    <row r="4" spans="1:5">
      <c r="A4" s="3" t="s">
        <v>94</v>
      </c>
      <c r="B4" t="s">
        <v>95</v>
      </c>
      <c r="C4" t="s">
        <v>96</v>
      </c>
    </row>
    <row r="5" spans="1:5">
      <c r="A5" s="3" t="s">
        <v>97</v>
      </c>
      <c r="B5" t="s">
        <v>98</v>
      </c>
      <c r="C5" t="s">
        <v>99</v>
      </c>
    </row>
    <row r="6" spans="1:5">
      <c r="A6" s="3" t="s">
        <v>100</v>
      </c>
      <c r="B6" t="s">
        <v>101</v>
      </c>
      <c r="C6" t="s">
        <v>102</v>
      </c>
    </row>
    <row r="7" spans="1:5">
      <c r="A7" s="3" t="s">
        <v>103</v>
      </c>
      <c r="B7" t="s">
        <v>104</v>
      </c>
      <c r="C7" t="s">
        <v>105</v>
      </c>
      <c r="E7" s="20"/>
    </row>
    <row r="8" spans="1:5">
      <c r="A8" s="3" t="s">
        <v>106</v>
      </c>
      <c r="B8" t="s">
        <v>107</v>
      </c>
      <c r="C8" t="s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2"/>
  <sheetViews>
    <sheetView topLeftCell="A40" workbookViewId="0"/>
  </sheetViews>
  <sheetFormatPr defaultRowHeight="14.25"/>
  <cols>
    <col min="1" max="2" width="14" customWidth="1"/>
  </cols>
  <sheetData>
    <row r="1" spans="1:2">
      <c r="A1" s="4" t="s">
        <v>109</v>
      </c>
      <c r="B1" s="4" t="s">
        <v>110</v>
      </c>
    </row>
    <row r="2" spans="1:2">
      <c r="A2" s="9">
        <v>71.977593088016235</v>
      </c>
      <c r="B2" s="9">
        <v>0</v>
      </c>
    </row>
    <row r="3" spans="1:2">
      <c r="A3" s="9">
        <v>76.169808562544546</v>
      </c>
      <c r="B3" s="9">
        <v>0</v>
      </c>
    </row>
    <row r="4" spans="1:2">
      <c r="A4" s="9">
        <v>76.277237265611987</v>
      </c>
      <c r="B4" s="9">
        <v>26.66488413547237</v>
      </c>
    </row>
    <row r="5" spans="1:2">
      <c r="A5" s="9">
        <v>76.828034237687689</v>
      </c>
      <c r="B5" s="9">
        <v>26.66488413547237</v>
      </c>
    </row>
    <row r="6" spans="1:2">
      <c r="A6" s="9">
        <v>76.872637955000798</v>
      </c>
      <c r="B6" s="9">
        <v>51.818842174774367</v>
      </c>
    </row>
    <row r="7" spans="1:2">
      <c r="A7" s="9">
        <v>77.822164741595685</v>
      </c>
      <c r="B7" s="9">
        <v>51.818842174774367</v>
      </c>
    </row>
    <row r="8" spans="1:2">
      <c r="A8" s="9">
        <v>77.963189403313265</v>
      </c>
      <c r="B8" s="9">
        <v>56.002960998598127</v>
      </c>
    </row>
    <row r="9" spans="1:2">
      <c r="A9" s="9">
        <v>83.817694064558609</v>
      </c>
      <c r="B9" s="9">
        <v>56.002960998598127</v>
      </c>
    </row>
    <row r="10" spans="1:2">
      <c r="A10" s="9">
        <v>83.843739275218226</v>
      </c>
      <c r="B10" s="9">
        <v>68.277127911129128</v>
      </c>
    </row>
    <row r="11" spans="1:2">
      <c r="A11" s="9">
        <v>85.813138014111857</v>
      </c>
      <c r="B11" s="9">
        <v>68.277127911129128</v>
      </c>
    </row>
    <row r="12" spans="1:2">
      <c r="A12" s="9">
        <v>85.84027284690815</v>
      </c>
      <c r="B12" s="9">
        <v>75.484221926339274</v>
      </c>
    </row>
    <row r="13" spans="1:2">
      <c r="A13" s="9">
        <v>87.125213859726713</v>
      </c>
      <c r="B13" s="9">
        <v>75.484221926339274</v>
      </c>
    </row>
    <row r="14" spans="1:2">
      <c r="A14" s="9">
        <v>87.125325300730921</v>
      </c>
      <c r="B14" s="9">
        <v>86.250349874331064</v>
      </c>
    </row>
    <row r="15" spans="1:2">
      <c r="A15" s="9">
        <v>119.3586791083067</v>
      </c>
      <c r="B15" s="9">
        <v>86.250349874331064</v>
      </c>
    </row>
    <row r="16" spans="1:2">
      <c r="A16" s="9">
        <v>119.35917541159711</v>
      </c>
      <c r="B16" s="9">
        <v>87.885417724906972</v>
      </c>
    </row>
    <row r="17" spans="1:2">
      <c r="A17" s="9">
        <v>125.2185871269713</v>
      </c>
      <c r="B17" s="9">
        <v>87.885417724906972</v>
      </c>
    </row>
    <row r="18" spans="1:2">
      <c r="A18" s="9">
        <v>125.22120761832031</v>
      </c>
      <c r="B18" s="9">
        <v>90.306491514870658</v>
      </c>
    </row>
    <row r="19" spans="1:2">
      <c r="A19" s="9">
        <v>128.13889114670451</v>
      </c>
      <c r="B19" s="9">
        <v>90.306491514870658</v>
      </c>
    </row>
    <row r="20" spans="1:2">
      <c r="A20" s="9">
        <v>128.14009012694279</v>
      </c>
      <c r="B20" s="9">
        <v>91.222283677244803</v>
      </c>
    </row>
    <row r="21" spans="1:2">
      <c r="A21" s="9">
        <v>130.14421713249311</v>
      </c>
      <c r="B21" s="9">
        <v>91.222283677244803</v>
      </c>
    </row>
    <row r="22" spans="1:2">
      <c r="A22" s="9">
        <v>130.1443421132293</v>
      </c>
      <c r="B22" s="9">
        <v>91.365420560747637</v>
      </c>
    </row>
    <row r="23" spans="1:2">
      <c r="A23" s="9">
        <v>130.14553642746679</v>
      </c>
      <c r="B23" s="9">
        <v>95.006599640130716</v>
      </c>
    </row>
    <row r="24" spans="1:2">
      <c r="A24" s="9">
        <v>132.9770123289299</v>
      </c>
      <c r="B24" s="9">
        <v>95.006599640130716</v>
      </c>
    </row>
    <row r="25" spans="1:2">
      <c r="A25" s="9">
        <v>132.97853614956429</v>
      </c>
      <c r="B25" s="9">
        <v>100.3519441199069</v>
      </c>
    </row>
    <row r="26" spans="1:2">
      <c r="A26" s="9">
        <v>134.4295612872491</v>
      </c>
      <c r="B26" s="9">
        <v>100.3519441199069</v>
      </c>
    </row>
    <row r="27" spans="1:2">
      <c r="A27" s="9">
        <v>134.42964764581379</v>
      </c>
      <c r="B27" s="9">
        <v>101.2887844087093</v>
      </c>
    </row>
    <row r="28" spans="1:2">
      <c r="A28" s="9">
        <v>139.6743243768002</v>
      </c>
      <c r="B28" s="9">
        <v>101.2887844087093</v>
      </c>
    </row>
    <row r="29" spans="1:2">
      <c r="A29" s="9">
        <v>139.67574813249809</v>
      </c>
      <c r="B29" s="9">
        <v>101.90231449399199</v>
      </c>
    </row>
    <row r="30" spans="1:2">
      <c r="A30" s="9">
        <v>144.41323971252291</v>
      </c>
      <c r="B30" s="9">
        <v>101.90231449399199</v>
      </c>
    </row>
    <row r="31" spans="1:2">
      <c r="A31" s="9">
        <v>144.41426937109301</v>
      </c>
      <c r="B31" s="9">
        <v>105.4845616867084</v>
      </c>
    </row>
    <row r="32" spans="1:2">
      <c r="A32" s="9">
        <v>144.62814054767281</v>
      </c>
      <c r="B32" s="9">
        <v>105.4845616867084</v>
      </c>
    </row>
    <row r="33" spans="1:2">
      <c r="A33" s="9">
        <v>144.62865791296741</v>
      </c>
      <c r="B33" s="9">
        <v>107.59421704131231</v>
      </c>
    </row>
    <row r="34" spans="1:2">
      <c r="A34" s="9">
        <v>146.11719918619991</v>
      </c>
      <c r="B34" s="9">
        <v>107.59421704131231</v>
      </c>
    </row>
    <row r="35" spans="1:2">
      <c r="A35" s="9">
        <v>146.11795925396819</v>
      </c>
      <c r="B35" s="9">
        <v>112.17477944856419</v>
      </c>
    </row>
    <row r="36" spans="1:2">
      <c r="A36" s="9">
        <v>146.1342388153171</v>
      </c>
      <c r="B36" s="9">
        <v>112.17477944856419</v>
      </c>
    </row>
    <row r="37" spans="1:2">
      <c r="A37" s="9">
        <v>146.13475439265949</v>
      </c>
      <c r="B37" s="9">
        <v>113.37839590964759</v>
      </c>
    </row>
    <row r="38" spans="1:2">
      <c r="A38" s="9">
        <v>150.04267672108529</v>
      </c>
      <c r="B38" s="9">
        <v>113.37839590964759</v>
      </c>
    </row>
    <row r="39" spans="1:2">
      <c r="A39" s="9">
        <v>150.0430998356492</v>
      </c>
      <c r="B39" s="9">
        <v>114.2609258561382</v>
      </c>
    </row>
    <row r="40" spans="1:2">
      <c r="A40" s="9">
        <v>155.1576105103847</v>
      </c>
      <c r="B40" s="9">
        <v>114.2609258561382</v>
      </c>
    </row>
    <row r="41" spans="1:2">
      <c r="A41" s="9">
        <v>155.16152312230531</v>
      </c>
      <c r="B41" s="9">
        <v>118.7210782920248</v>
      </c>
    </row>
    <row r="42" spans="1:2">
      <c r="A42" s="9">
        <v>156.249583472121</v>
      </c>
      <c r="B42" s="9">
        <v>118.7210782920248</v>
      </c>
    </row>
    <row r="43" spans="1:2">
      <c r="A43" s="9">
        <v>156.25032397029179</v>
      </c>
      <c r="B43" s="9">
        <v>119.7607940876163</v>
      </c>
    </row>
    <row r="44" spans="1:2">
      <c r="A44" s="9">
        <v>157.38966655217959</v>
      </c>
      <c r="B44" s="9">
        <v>119.7607940876163</v>
      </c>
    </row>
    <row r="45" spans="1:2">
      <c r="A45" s="9">
        <v>157.3929877072292</v>
      </c>
      <c r="B45" s="9">
        <v>125.91424770367379</v>
      </c>
    </row>
    <row r="46" spans="1:2">
      <c r="A46" s="9">
        <v>158.77549749049899</v>
      </c>
      <c r="B46" s="9">
        <v>125.91424770367379</v>
      </c>
    </row>
    <row r="47" spans="1:2">
      <c r="A47" s="9">
        <v>158.77651150822749</v>
      </c>
      <c r="B47" s="9">
        <v>129.79971150884131</v>
      </c>
    </row>
    <row r="48" spans="1:2">
      <c r="A48" s="9">
        <v>173.07657771798989</v>
      </c>
      <c r="B48" s="9">
        <v>129.79971150884131</v>
      </c>
    </row>
    <row r="49" spans="1:2">
      <c r="A49" s="9">
        <v>173.0771042922382</v>
      </c>
      <c r="B49" s="9">
        <v>131.45263853200541</v>
      </c>
    </row>
    <row r="50" spans="1:2">
      <c r="A50" s="9">
        <v>178.59958771008729</v>
      </c>
      <c r="B50" s="9">
        <v>131.45263853200541</v>
      </c>
    </row>
    <row r="51" spans="1:2">
      <c r="A51" s="9">
        <v>178.59963869806441</v>
      </c>
      <c r="B51" s="9">
        <v>138.19156258510591</v>
      </c>
    </row>
    <row r="52" spans="1:2">
      <c r="A52" s="9">
        <v>253.94499182765691</v>
      </c>
      <c r="B52" s="9">
        <v>138.19156258510591</v>
      </c>
    </row>
    <row r="53" spans="1:2">
      <c r="A53" s="9">
        <v>253.95166568453149</v>
      </c>
      <c r="B53" s="9">
        <v>151.88072774905959</v>
      </c>
    </row>
    <row r="54" spans="1:2">
      <c r="A54" s="9">
        <v>276.1293422164153</v>
      </c>
      <c r="B54" s="9">
        <v>151.88072774905959</v>
      </c>
    </row>
    <row r="55" spans="1:2">
      <c r="A55" s="9">
        <v>276.13833749626428</v>
      </c>
      <c r="B55" s="9">
        <v>160.8676447480745</v>
      </c>
    </row>
    <row r="56" spans="1:2">
      <c r="A56" s="9">
        <v>412.7638173223192</v>
      </c>
      <c r="B56" s="9">
        <v>160.8676447480745</v>
      </c>
    </row>
    <row r="57" spans="1:2">
      <c r="A57" s="9">
        <v>413.084331624784</v>
      </c>
      <c r="B57" s="9">
        <v>185.4025569801214</v>
      </c>
    </row>
    <row r="58" spans="1:2">
      <c r="A58" s="9">
        <v>415.69158753938882</v>
      </c>
      <c r="B58" s="9">
        <v>185.4025569801214</v>
      </c>
    </row>
    <row r="59" spans="1:2">
      <c r="A59" s="9">
        <v>416.27583262171743</v>
      </c>
      <c r="B59" s="9">
        <v>209.9053003622459</v>
      </c>
    </row>
    <row r="60" spans="1:2">
      <c r="A60" s="9">
        <v>422.2423487809919</v>
      </c>
      <c r="B60" s="9">
        <v>209.9053003622459</v>
      </c>
    </row>
    <row r="61" spans="1:2">
      <c r="A61" s="9">
        <v>422.48079722881778</v>
      </c>
      <c r="B61" s="9">
        <v>353.04308604027909</v>
      </c>
    </row>
    <row r="62" spans="1:2">
      <c r="A62" s="9">
        <v>523.55591968201315</v>
      </c>
      <c r="B62" s="9">
        <v>353.04308604027909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4.25"/>
  <cols>
    <col min="1" max="1" width="18" customWidth="1"/>
    <col min="2" max="3" width="14" customWidth="1"/>
    <col min="4" max="4" width="28" customWidth="1"/>
  </cols>
  <sheetData>
    <row r="1" spans="1:4">
      <c r="A1" s="4" t="s">
        <v>85</v>
      </c>
      <c r="B1" s="4" t="s">
        <v>111</v>
      </c>
      <c r="C1" s="4" t="s">
        <v>112</v>
      </c>
      <c r="D1" s="4" t="s">
        <v>113</v>
      </c>
    </row>
    <row r="2" spans="1:4">
      <c r="A2" s="3" t="s">
        <v>106</v>
      </c>
      <c r="B2" t="s">
        <v>107</v>
      </c>
      <c r="C2" s="10">
        <v>2.4</v>
      </c>
      <c r="D2" t="str">
        <f t="shared" ref="D2:D8" si="0">A2&amp;"|"&amp;B2</f>
        <v>DriverAge_Bin|18-21</v>
      </c>
    </row>
    <row r="3" spans="1:4">
      <c r="A3" s="3" t="s">
        <v>106</v>
      </c>
      <c r="B3" t="s">
        <v>114</v>
      </c>
      <c r="C3" s="10">
        <v>1.4</v>
      </c>
      <c r="D3" t="str">
        <f t="shared" si="0"/>
        <v>DriverAge_Bin|22-25</v>
      </c>
    </row>
    <row r="4" spans="1:4">
      <c r="A4" s="3" t="s">
        <v>103</v>
      </c>
      <c r="B4" t="s">
        <v>115</v>
      </c>
      <c r="C4" s="10">
        <v>0.75</v>
      </c>
      <c r="D4" t="str">
        <f t="shared" si="0"/>
        <v>VehAge_Bin|New (0-1)</v>
      </c>
    </row>
    <row r="5" spans="1:4">
      <c r="A5" s="3" t="s">
        <v>103</v>
      </c>
      <c r="B5" t="s">
        <v>116</v>
      </c>
      <c r="C5" s="10">
        <v>1.1200000000000001</v>
      </c>
      <c r="D5" t="str">
        <f t="shared" si="0"/>
        <v>VehAge_Bin|5-10</v>
      </c>
    </row>
    <row r="6" spans="1:4">
      <c r="A6" s="3" t="s">
        <v>103</v>
      </c>
      <c r="B6" t="s">
        <v>117</v>
      </c>
      <c r="C6" s="10">
        <v>0.55000000000000004</v>
      </c>
      <c r="D6" t="str">
        <f t="shared" si="0"/>
        <v>VehAge_Bin|20+</v>
      </c>
    </row>
    <row r="7" spans="1:4">
      <c r="A7" s="3" t="s">
        <v>100</v>
      </c>
      <c r="B7" t="s">
        <v>118</v>
      </c>
      <c r="C7" s="10">
        <v>1.3</v>
      </c>
      <c r="D7" t="str">
        <f t="shared" si="0"/>
        <v>VehPower_Bin|9</v>
      </c>
    </row>
    <row r="8" spans="1:4">
      <c r="A8" s="3" t="s">
        <v>100</v>
      </c>
      <c r="B8" t="s">
        <v>119</v>
      </c>
      <c r="C8" s="10">
        <v>0.9</v>
      </c>
      <c r="D8" t="str">
        <f t="shared" si="0"/>
        <v>VehPower_Bin|4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3741-6EF6-4E97-B89B-323FC0A9A30A}">
  <dimension ref="A1:B19"/>
  <sheetViews>
    <sheetView topLeftCell="A2" workbookViewId="0">
      <selection activeCell="B9" sqref="B9"/>
    </sheetView>
  </sheetViews>
  <sheetFormatPr defaultRowHeight="14.25"/>
  <cols>
    <col min="1" max="1" width="28.59765625" customWidth="1"/>
    <col min="2" max="2" width="16.59765625" customWidth="1"/>
  </cols>
  <sheetData>
    <row r="1" spans="1:2">
      <c r="A1" s="15" t="s">
        <v>186</v>
      </c>
    </row>
    <row r="3" spans="1:2">
      <c r="A3" s="15" t="s">
        <v>187</v>
      </c>
    </row>
    <row r="4" spans="1:2">
      <c r="A4" t="s">
        <v>88</v>
      </c>
      <c r="B4" s="16" t="s">
        <v>139</v>
      </c>
    </row>
    <row r="5" spans="1:2">
      <c r="A5" t="s">
        <v>91</v>
      </c>
      <c r="B5" s="16" t="s">
        <v>196</v>
      </c>
    </row>
    <row r="6" spans="1:2">
      <c r="A6" t="s">
        <v>94</v>
      </c>
      <c r="B6" s="16" t="s">
        <v>140</v>
      </c>
    </row>
    <row r="7" spans="1:2">
      <c r="A7" t="s">
        <v>97</v>
      </c>
      <c r="B7" s="16" t="s">
        <v>141</v>
      </c>
    </row>
    <row r="8" spans="1:2">
      <c r="A8" t="s">
        <v>100</v>
      </c>
      <c r="B8" s="17" t="str">
        <f>Sensitivity_OneWay!E6</f>
        <v>6</v>
      </c>
    </row>
    <row r="9" spans="1:2">
      <c r="A9" s="24" t="s">
        <v>103</v>
      </c>
      <c r="B9" s="17" t="str">
        <f>Sensitivity_OneWay!E5</f>
        <v>11-20</v>
      </c>
    </row>
    <row r="10" spans="1:2">
      <c r="A10" t="s">
        <v>106</v>
      </c>
      <c r="B10" s="17" t="str">
        <f>Sensitivity_OneWay!E4</f>
        <v>31-40</v>
      </c>
    </row>
    <row r="12" spans="1:2">
      <c r="A12" s="15" t="s">
        <v>188</v>
      </c>
    </row>
    <row r="13" spans="1:2">
      <c r="A13" s="19" t="s">
        <v>189</v>
      </c>
      <c r="B13" s="8">
        <f>EXP(FreqIntercept + IFERROR(VLOOKUP("VehBrand_Bin_"&amp;B4, FreqCoefs, 2, FALSE), 0) + IFERROR(VLOOKUP("VehGas_"&amp;B5, FreqCoefs, 2, FALSE), 0) + IFERROR(VLOOKUP("Region_"&amp;B6, FreqCoefs, 2, FALSE), 0) + IFERROR(VLOOKUP("Area_"&amp;B7, FreqCoefs, 2, FALSE), 0) + IFERROR(VLOOKUP("VehPower_Bin_"&amp;B8, FreqCoefs, 2, FALSE), 0) + IFERROR(VLOOKUP("VehAge_Bin_"&amp;B9, FreqCoefs, 2, FALSE), 0) + IFERROR(VLOOKUP("DriverAge_Bin_"&amp;B10, FreqCoefs, 2, FALSE), 0))</f>
        <v>8.03265541028578E-2</v>
      </c>
    </row>
    <row r="14" spans="1:2">
      <c r="A14" s="19" t="s">
        <v>190</v>
      </c>
      <c r="B14" s="11">
        <f>EXP(SevIntercept + IFERROR(VLOOKUP("VehBrand_Bin_"&amp;B4, SevCoefs, 2, FALSE), 0) + IFERROR(VLOOKUP("VehGas_"&amp;B5, SevCoefs, 2, FALSE), 0) + IFERROR(VLOOKUP("Region_"&amp;B6, SevCoefs, 2, FALSE), 0) + IFERROR(VLOOKUP("Area_"&amp;B7, SevCoefs, 2, FALSE), 0) + IFERROR(VLOOKUP("VehPower_Bin_"&amp;B8, SevCoefs, 2, FALSE), 0) + IFERROR(VLOOKUP("VehAge_Bin_"&amp;B9, SevCoefs, 2, FALSE), 0) + IFERROR(VLOOKUP("DriverAge_Bin_"&amp;B10, SevCoefs, 2, FALSE), 0))</f>
        <v>2082.1437183671701</v>
      </c>
    </row>
    <row r="15" spans="1:2">
      <c r="A15" s="19" t="s">
        <v>191</v>
      </c>
      <c r="B15" s="11">
        <f>B13*B14</f>
        <v>167.25143004334601</v>
      </c>
    </row>
    <row r="16" spans="1:2">
      <c r="A16" s="19" t="s">
        <v>192</v>
      </c>
      <c r="B16" s="11">
        <f>B15*OffBalance</f>
        <v>136.42208820978118</v>
      </c>
    </row>
    <row r="17" spans="1:2">
      <c r="A17" s="19" t="s">
        <v>193</v>
      </c>
      <c r="B17" s="11" cm="1">
        <f t="array" ref="B17">IF(B16&lt;=MIN(KnotsX),INDEX(KnotsY,1),IF(B16&gt;=MAX(KnotsX),INDEX(KnotsY,COUNT(KnotsX)),INDEX(KnotsY,MATCH(B16,KnotsX,1))+(B16-INDEX(KnotsX,MATCH(B16,KnotsX,1)))*(INDEX(KnotsY,MATCH(B16,KnotsX,1)+1)-INDEX(KnotsY,MATCH(B16,KnotsX,1)))/(INDEX(KnotsX,MATCH(B16,KnotsX,1)+1)-INDEX(KnotsX,MATCH(B16,KnotsX,1)))))</f>
        <v>101.2887844087093</v>
      </c>
    </row>
    <row r="18" spans="1:2">
      <c r="A18" s="19" t="s">
        <v>194</v>
      </c>
      <c r="B18" s="9">
        <f>IFERROR(INDEX(LoadingsMult,MATCH("DriverAge_Bin|"&amp;B10,LoadingsKeys,0)),1) * IFERROR(INDEX(LoadingsMult,MATCH("VehAge_Bin|"&amp;B9,LoadingsKeys,0)),1) * IFERROR(INDEX(LoadingsMult,MATCH("VehPower_Bin|"&amp;B8,LoadingsKeys,0)),1)</f>
        <v>1</v>
      </c>
    </row>
    <row r="19" spans="1:2">
      <c r="A19" s="19" t="s">
        <v>195</v>
      </c>
      <c r="B19" s="11">
        <f>B17*B18</f>
        <v>101.2887844087093</v>
      </c>
    </row>
  </sheetData>
  <dataValidations count="4">
    <dataValidation type="list" allowBlank="1" showInputMessage="1" showErrorMessage="1" sqref="B4" xr:uid="{170897A7-391D-40AA-AC97-5D2149880652}">
      <formula1>"B1, B2, B3, B5, Other"</formula1>
    </dataValidation>
    <dataValidation type="list" allowBlank="1" showInputMessage="1" showErrorMessage="1" sqref="B5" xr:uid="{CAD561FB-7794-40B3-80EC-9E414E6601D9}">
      <formula1>"Diesel, Regular"</formula1>
    </dataValidation>
    <dataValidation type="list" allowBlank="1" showInputMessage="1" showErrorMessage="1" sqref="B6" xr:uid="{EC6D5AB2-E67E-4AD9-9E3F-F723CAF39F02}">
      <formula1>"R11, R21, R22, R23, R24, R25, R26, R31, R41, R42, R43, R52, R53, R54, R72, R73, R74, R82, R83, R91, R93, R94"</formula1>
    </dataValidation>
    <dataValidation type="list" allowBlank="1" showInputMessage="1" showErrorMessage="1" sqref="B7" xr:uid="{2C6B6FDC-7D2C-47F1-B80B-02CE4C21AAB2}">
      <formula1>"A, B, C, D, E, 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084C-E75C-480D-A66C-9C14DBA3D1F0}">
  <dimension ref="A1:P30"/>
  <sheetViews>
    <sheetView tabSelected="1" workbookViewId="0">
      <selection activeCell="E5" sqref="E5"/>
    </sheetView>
  </sheetViews>
  <sheetFormatPr defaultRowHeight="14.25"/>
  <cols>
    <col min="1" max="1" width="19.6640625" bestFit="1" customWidth="1"/>
    <col min="2" max="2" width="10.19921875" bestFit="1" customWidth="1"/>
    <col min="4" max="4" width="12.19921875" bestFit="1" customWidth="1"/>
    <col min="7" max="7" width="12.19921875" bestFit="1" customWidth="1"/>
    <col min="14" max="14" width="12" bestFit="1" customWidth="1"/>
  </cols>
  <sheetData>
    <row r="1" spans="1:16">
      <c r="A1" s="15" t="s">
        <v>197</v>
      </c>
    </row>
    <row r="3" spans="1:16">
      <c r="A3" s="22" t="s">
        <v>200</v>
      </c>
      <c r="D3" s="15" t="s">
        <v>202</v>
      </c>
      <c r="G3" s="15" t="s">
        <v>203</v>
      </c>
      <c r="H3" s="19" t="s">
        <v>204</v>
      </c>
      <c r="I3" t="s">
        <v>205</v>
      </c>
      <c r="J3" s="15" t="s">
        <v>206</v>
      </c>
      <c r="K3" t="s">
        <v>207</v>
      </c>
      <c r="L3" t="s">
        <v>208</v>
      </c>
      <c r="N3" s="15" t="s">
        <v>203</v>
      </c>
      <c r="O3" t="s">
        <v>210</v>
      </c>
      <c r="P3" t="s">
        <v>211</v>
      </c>
    </row>
    <row r="4" spans="1:16">
      <c r="A4" s="21" t="s">
        <v>198</v>
      </c>
      <c r="B4" s="23">
        <f>Sample_Policy!B19</f>
        <v>101.2887844087093</v>
      </c>
      <c r="D4" t="s">
        <v>106</v>
      </c>
      <c r="E4" s="17" t="s">
        <v>143</v>
      </c>
      <c r="G4" t="s">
        <v>106</v>
      </c>
      <c r="H4" s="11">
        <f>MIN(B5:B12)</f>
        <v>101.2887844087093</v>
      </c>
      <c r="I4" s="11">
        <f>MAX(B5:B12)</f>
        <v>331.65975020425418</v>
      </c>
      <c r="J4" s="25">
        <f>I4-H4</f>
        <v>230.37096579554486</v>
      </c>
      <c r="K4" t="str">
        <f>INDEX(A5:A12, MATCH(H4,B5:B12,0))</f>
        <v>31-40</v>
      </c>
      <c r="L4" t="str">
        <f>INDEX(A5:A12, MATCH(I4,B5:B12,0))</f>
        <v>18-21</v>
      </c>
      <c r="N4" t="str">
        <f>G4</f>
        <v>DriverAge_Bin</v>
      </c>
      <c r="O4" s="11">
        <f>H4-H8</f>
        <v>0</v>
      </c>
      <c r="P4" s="11">
        <f>I4-H8</f>
        <v>230.37096579554486</v>
      </c>
    </row>
    <row r="5" spans="1:16">
      <c r="A5" s="20" t="s">
        <v>107</v>
      </c>
      <c r="B5" s="11">
        <f t="dataTable" ref="B5:B12" dt2D="0" dtr="0" r1="E4" ca="1"/>
        <v>331.65975020425418</v>
      </c>
      <c r="D5" t="s">
        <v>103</v>
      </c>
      <c r="E5" s="17" t="s">
        <v>104</v>
      </c>
      <c r="G5" t="s">
        <v>103</v>
      </c>
      <c r="H5" s="11">
        <f>MIN(B16:B20)</f>
        <v>52.253629802071899</v>
      </c>
      <c r="I5">
        <f>MAX(B16:B20)</f>
        <v>113.44343853775443</v>
      </c>
      <c r="J5" s="25">
        <f>I5-H5</f>
        <v>61.189808735682533</v>
      </c>
      <c r="K5" t="str">
        <f>INDEX(A16:A20, MATCH(H5, B16:B20, 0))</f>
        <v>20+</v>
      </c>
      <c r="L5" t="str">
        <f>INDEX(A16:A20, MATCH(I5, B16:B20, 0))</f>
        <v>5-10</v>
      </c>
      <c r="N5" t="str">
        <f>G5</f>
        <v>VehAge_Bin</v>
      </c>
      <c r="O5" s="11">
        <f>H5-H8</f>
        <v>-49.035154606637406</v>
      </c>
      <c r="P5" s="11">
        <f>I5-H8</f>
        <v>12.154654129045127</v>
      </c>
    </row>
    <row r="6" spans="1:16">
      <c r="A6" s="20" t="s">
        <v>114</v>
      </c>
      <c r="B6" s="11">
        <v>184.03369394480757</v>
      </c>
      <c r="D6" t="s">
        <v>100</v>
      </c>
      <c r="E6" s="17" t="s">
        <v>142</v>
      </c>
      <c r="G6" t="s">
        <v>100</v>
      </c>
      <c r="H6" s="11">
        <f>MIN(B24:B30)</f>
        <v>77.625314886897954</v>
      </c>
      <c r="I6">
        <f>MAX(B24:B30)</f>
        <v>112.12545483663038</v>
      </c>
      <c r="J6" s="25">
        <f>I6-H6</f>
        <v>34.500139949732429</v>
      </c>
      <c r="K6">
        <f>INDEX(A24:A30, MATCH(H6, B24:B30, 0))</f>
        <v>4</v>
      </c>
      <c r="L6">
        <f>INDEX(A24:A30, MATCH(I6,B24:B30,0))</f>
        <v>9</v>
      </c>
      <c r="N6" t="str">
        <f>G6</f>
        <v>VehPower_Bin</v>
      </c>
      <c r="O6" s="11">
        <f>H6-H8</f>
        <v>-23.663469521811351</v>
      </c>
      <c r="P6" s="11">
        <f>I6-H8</f>
        <v>10.836670427921078</v>
      </c>
    </row>
    <row r="7" spans="1:16">
      <c r="A7" s="20" t="s">
        <v>162</v>
      </c>
      <c r="B7" s="11">
        <v>114.2609258561382</v>
      </c>
      <c r="H7" s="11"/>
    </row>
    <row r="8" spans="1:16">
      <c r="A8" s="20" t="s">
        <v>143</v>
      </c>
      <c r="B8" s="11">
        <v>101.2887844087093</v>
      </c>
      <c r="G8" t="s">
        <v>209</v>
      </c>
      <c r="H8" s="11">
        <f>B4</f>
        <v>101.2887844087093</v>
      </c>
    </row>
    <row r="9" spans="1:16">
      <c r="A9" s="20" t="s">
        <v>147</v>
      </c>
      <c r="B9" s="11">
        <v>101.2887844087093</v>
      </c>
    </row>
    <row r="10" spans="1:16">
      <c r="A10" s="20" t="s">
        <v>156</v>
      </c>
      <c r="B10" s="11">
        <v>101.90231449399199</v>
      </c>
    </row>
    <row r="11" spans="1:16">
      <c r="A11" s="20" t="s">
        <v>153</v>
      </c>
      <c r="B11" s="11">
        <v>114.2609258561382</v>
      </c>
    </row>
    <row r="12" spans="1:16">
      <c r="A12" s="20" t="s">
        <v>180</v>
      </c>
      <c r="B12" s="11">
        <v>138.19156258510591</v>
      </c>
    </row>
    <row r="14" spans="1:16">
      <c r="A14" s="15" t="s">
        <v>199</v>
      </c>
    </row>
    <row r="15" spans="1:16">
      <c r="A15" s="20" t="s">
        <v>198</v>
      </c>
      <c r="B15" s="11">
        <f>Sample_Policy!B19</f>
        <v>101.2887844087093</v>
      </c>
    </row>
    <row r="16" spans="1:16">
      <c r="A16" s="20" t="s">
        <v>115</v>
      </c>
      <c r="B16">
        <f t="dataTable" ref="B16:B20" dt2D="0" dtr="0" r1="E5" ca="1"/>
        <v>103.64367193882944</v>
      </c>
    </row>
    <row r="17" spans="1:2">
      <c r="A17" s="20" t="s">
        <v>155</v>
      </c>
      <c r="B17">
        <v>101.90231449399199</v>
      </c>
    </row>
    <row r="18" spans="1:2">
      <c r="A18" s="20" t="s">
        <v>116</v>
      </c>
      <c r="B18">
        <v>113.44343853775443</v>
      </c>
    </row>
    <row r="19" spans="1:2">
      <c r="A19" s="20" t="s">
        <v>104</v>
      </c>
      <c r="B19">
        <v>101.2887844087093</v>
      </c>
    </row>
    <row r="20" spans="1:2">
      <c r="A20" s="20" t="s">
        <v>117</v>
      </c>
      <c r="B20">
        <v>52.253629802071899</v>
      </c>
    </row>
    <row r="22" spans="1:2">
      <c r="A22" s="15" t="s">
        <v>201</v>
      </c>
    </row>
    <row r="23" spans="1:2">
      <c r="A23" s="20" t="s">
        <v>198</v>
      </c>
      <c r="B23" s="11">
        <f>Sample_Policy!B19</f>
        <v>101.2887844087093</v>
      </c>
    </row>
    <row r="24" spans="1:2">
      <c r="A24" s="20">
        <v>4</v>
      </c>
      <c r="B24">
        <f t="dataTable" ref="B24:B30" dt2D="0" dtr="0" r1="E6"/>
        <v>77.625314886897954</v>
      </c>
    </row>
    <row r="25" spans="1:2">
      <c r="A25" s="20">
        <v>5</v>
      </c>
      <c r="B25">
        <v>86.250349874331064</v>
      </c>
    </row>
    <row r="26" spans="1:2">
      <c r="A26" s="20">
        <v>6</v>
      </c>
      <c r="B26">
        <v>101.2887844087093</v>
      </c>
    </row>
    <row r="27" spans="1:2">
      <c r="A27" s="20">
        <v>7</v>
      </c>
      <c r="B27">
        <v>87.885417724906972</v>
      </c>
    </row>
    <row r="28" spans="1:2">
      <c r="A28" s="20">
        <v>8</v>
      </c>
      <c r="B28">
        <v>86.250349874331064</v>
      </c>
    </row>
    <row r="29" spans="1:2">
      <c r="A29" s="20">
        <v>9</v>
      </c>
      <c r="B29">
        <v>112.12545483663038</v>
      </c>
    </row>
    <row r="30" spans="1:2">
      <c r="A30" s="20" t="s">
        <v>101</v>
      </c>
      <c r="B30">
        <v>90.306491514870658</v>
      </c>
    </row>
  </sheetData>
  <dataValidations count="3">
    <dataValidation type="list" allowBlank="1" showInputMessage="1" showErrorMessage="1" sqref="E4" xr:uid="{7FD1D4D8-D7D4-480E-A6F4-7FAE4DB9C131}">
      <formula1>"18-21, 22-25, 26-30, 31-40, 41-50, 51-60, 61-75, 75+"</formula1>
    </dataValidation>
    <dataValidation type="list" allowBlank="1" showInputMessage="1" showErrorMessage="1" sqref="E5" xr:uid="{2C6A8449-BE7B-4EA6-BBAD-2E51F4D4F55C}">
      <formula1>"11-20, 2-4, 20+, 5-10, New (0-1)"</formula1>
    </dataValidation>
    <dataValidation type="list" allowBlank="1" showInputMessage="1" showErrorMessage="1" sqref="E6" xr:uid="{7E59ECAD-212B-45B0-BF46-C6767E7504B9}">
      <formula1>"10+, 4, 5, 6, 7, 8, 9"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6"/>
  <sheetViews>
    <sheetView workbookViewId="0">
      <pane ySplit="1" topLeftCell="A2" activePane="bottomLeft" state="frozen"/>
      <selection pane="bottomLeft" activeCell="L2" sqref="L2"/>
    </sheetView>
  </sheetViews>
  <sheetFormatPr defaultRowHeight="14.25"/>
  <cols>
    <col min="1" max="1" width="13.796875" bestFit="1" customWidth="1"/>
    <col min="2" max="2" width="9.46484375" bestFit="1" customWidth="1"/>
    <col min="3" max="3" width="7.46484375" bestFit="1" customWidth="1"/>
    <col min="4" max="4" width="9.53125" bestFit="1" customWidth="1"/>
    <col min="5" max="5" width="9.3984375" bestFit="1" customWidth="1"/>
    <col min="6" max="6" width="13.46484375" bestFit="1" customWidth="1"/>
    <col min="7" max="7" width="7.53125" bestFit="1" customWidth="1"/>
    <col min="8" max="8" width="7" customWidth="1"/>
    <col min="9" max="9" width="6" customWidth="1"/>
    <col min="10" max="10" width="13.59765625" bestFit="1" customWidth="1"/>
    <col min="11" max="11" width="11.46484375" bestFit="1" customWidth="1"/>
    <col min="12" max="12" width="13.53125" bestFit="1" customWidth="1"/>
    <col min="13" max="13" width="9.06640625" bestFit="1" customWidth="1"/>
    <col min="14" max="14" width="8.33203125" bestFit="1" customWidth="1"/>
    <col min="15" max="15" width="11" customWidth="1"/>
    <col min="16" max="16" width="14.59765625" bestFit="1" customWidth="1"/>
    <col min="17" max="17" width="13.796875" bestFit="1" customWidth="1"/>
    <col min="18" max="18" width="23.53125" bestFit="1" customWidth="1"/>
    <col min="19" max="19" width="22.53125" bestFit="1" customWidth="1"/>
    <col min="20" max="20" width="28.86328125" bestFit="1" customWidth="1"/>
    <col min="21" max="21" width="17.46484375" bestFit="1" customWidth="1"/>
    <col min="22" max="22" width="16.33203125" bestFit="1" customWidth="1"/>
    <col min="23" max="23" width="13.796875" bestFit="1" customWidth="1"/>
    <col min="24" max="25" width="10" customWidth="1"/>
    <col min="26" max="26" width="7" customWidth="1"/>
  </cols>
  <sheetData>
    <row r="1" spans="1:26">
      <c r="A1" s="18" t="s">
        <v>120</v>
      </c>
      <c r="B1" s="4" t="s">
        <v>121</v>
      </c>
      <c r="C1" s="4" t="s">
        <v>122</v>
      </c>
      <c r="D1" s="4" t="s">
        <v>123</v>
      </c>
      <c r="E1" s="4" t="s">
        <v>124</v>
      </c>
      <c r="F1" s="4" t="s">
        <v>88</v>
      </c>
      <c r="G1" s="4" t="s">
        <v>91</v>
      </c>
      <c r="H1" s="4" t="s">
        <v>94</v>
      </c>
      <c r="I1" s="4" t="s">
        <v>97</v>
      </c>
      <c r="J1" s="4" t="s">
        <v>100</v>
      </c>
      <c r="K1" s="4" t="s">
        <v>103</v>
      </c>
      <c r="L1" s="4" t="s">
        <v>106</v>
      </c>
      <c r="M1" s="4" t="s">
        <v>125</v>
      </c>
      <c r="N1" s="4" t="s">
        <v>126</v>
      </c>
      <c r="O1" s="4" t="s">
        <v>127</v>
      </c>
      <c r="P1" s="4" t="s">
        <v>128</v>
      </c>
      <c r="Q1" s="4" t="s">
        <v>129</v>
      </c>
      <c r="R1" s="4" t="s">
        <v>130</v>
      </c>
      <c r="S1" s="4" t="s">
        <v>131</v>
      </c>
      <c r="T1" s="4" t="s">
        <v>132</v>
      </c>
      <c r="U1" s="4" t="s">
        <v>133</v>
      </c>
      <c r="V1" s="4" t="s">
        <v>134</v>
      </c>
      <c r="W1" s="4" t="s">
        <v>135</v>
      </c>
      <c r="X1" s="4" t="s">
        <v>136</v>
      </c>
      <c r="Y1" s="4" t="s">
        <v>137</v>
      </c>
      <c r="Z1" s="4" t="s">
        <v>138</v>
      </c>
    </row>
    <row r="2" spans="1:26">
      <c r="A2">
        <v>448889</v>
      </c>
      <c r="B2">
        <v>37</v>
      </c>
      <c r="C2">
        <v>11</v>
      </c>
      <c r="D2">
        <v>6</v>
      </c>
      <c r="E2" t="s">
        <v>139</v>
      </c>
      <c r="F2" t="s">
        <v>139</v>
      </c>
      <c r="G2" t="s">
        <v>92</v>
      </c>
      <c r="H2" t="s">
        <v>140</v>
      </c>
      <c r="I2" t="s">
        <v>141</v>
      </c>
      <c r="J2" t="s">
        <v>142</v>
      </c>
      <c r="K2" t="s">
        <v>104</v>
      </c>
      <c r="L2" t="s">
        <v>143</v>
      </c>
      <c r="M2" s="9">
        <v>0.41</v>
      </c>
      <c r="N2">
        <v>0</v>
      </c>
      <c r="O2" s="11">
        <v>0</v>
      </c>
      <c r="P2" s="8">
        <f t="shared" ref="P2:P33" si="0">EXP(FreqIntercept + IFERROR(VLOOKUP("VehBrand_Bin_"&amp;F2, FreqCoefs, 2, FALSE), 0) + IFERROR(VLOOKUP("VehGas_"&amp;G2, FreqCoefs, 2, FALSE), 0) + IFERROR(VLOOKUP("Region_"&amp;H2, FreqCoefs, 2, FALSE), 0) + IFERROR(VLOOKUP("Area_"&amp;I2, FreqCoefs, 2, FALSE), 0) + IFERROR(VLOOKUP("VehPower_Bin_"&amp;J2, FreqCoefs, 2, FALSE), 0) + IFERROR(VLOOKUP("VehAge_Bin_"&amp;K2, FreqCoefs, 2, FALSE), 0) + IFERROR(VLOOKUP("DriverAge_Bin_"&amp;L2, FreqCoefs, 2, FALSE), 0))</f>
        <v>8.03265541028578E-2</v>
      </c>
      <c r="Q2" s="11">
        <f t="shared" ref="Q2:Q33" si="1">EXP(SevIntercept + IFERROR(VLOOKUP("VehBrand_Bin_"&amp;F2, SevCoefs, 2, FALSE), 0) + IFERROR(VLOOKUP("VehGas_"&amp;G2, SevCoefs, 2, FALSE), 0) + IFERROR(VLOOKUP("Region_"&amp;H2, SevCoefs, 2, FALSE), 0) + IFERROR(VLOOKUP("Area_"&amp;I2, SevCoefs, 2, FALSE), 0) + IFERROR(VLOOKUP("VehPower_Bin_"&amp;J2, SevCoefs, 2, FALSE), 0) + IFERROR(VLOOKUP("VehAge_Bin_"&amp;K2, SevCoefs, 2, FALSE), 0) + IFERROR(VLOOKUP("DriverAge_Bin_"&amp;L2, SevCoefs, 2, FALSE), 0))</f>
        <v>2082.1437183671701</v>
      </c>
      <c r="R2" s="11">
        <f t="shared" ref="R2:R33" si="2">P2*Q2</f>
        <v>167.25143004334601</v>
      </c>
      <c r="S2" s="11">
        <f t="shared" ref="S2:S33" si="3">R2*OffBalance</f>
        <v>136.42208820978118</v>
      </c>
      <c r="T2" s="11">
        <f t="shared" ref="T2:T33" si="4">IF(S2&lt;=MIN(KnotsX),INDEX(KnotsY,1),IF(S2&gt;=MAX(KnotsX),INDEX(KnotsY,COUNT(KnotsX)),INDEX(KnotsY,MATCH(S2,KnotsX,1))+(S2-INDEX(KnotsX,MATCH(S2,KnotsX,1)))*(INDEX(KnotsY,MATCH(S2,KnotsX,1)+1)-INDEX(KnotsY,MATCH(S2,KnotsX,1)))/(INDEX(KnotsX,MATCH(S2,KnotsX,1)+1)-INDEX(KnotsX,MATCH(S2,KnotsX,1)))))</f>
        <v>101.2887844087093</v>
      </c>
      <c r="U2" s="9">
        <f t="shared" ref="U2:U33" si="5">IFERROR(INDEX(LoadingsMult, MATCH("DriverAge_Bin|"&amp;L2, LoadingsKeys, 0)), 1) * IFERROR(INDEX(LoadingsMult, MATCH("VehAge_Bin|"&amp;K2, LoadingsKeys, 0)), 1) * IFERROR(INDEX(LoadingsMult, MATCH("VehPower_Bin|"&amp;J2, LoadingsKeys, 0)), 1)</f>
        <v>1</v>
      </c>
      <c r="V2" s="11">
        <f t="shared" ref="V2:V33" si="6">T2*U2</f>
        <v>101.2887844087093</v>
      </c>
      <c r="W2" s="11">
        <v>101.2887844087093</v>
      </c>
      <c r="X2" s="9">
        <f t="shared" ref="X2:X33" si="7">V2-W2</f>
        <v>0</v>
      </c>
      <c r="Y2" s="12">
        <f t="shared" ref="Y2:Y33" si="8">IFERROR(X2/W2,0)</f>
        <v>0</v>
      </c>
      <c r="Z2" t="str">
        <f t="shared" ref="Z2:Z33" si="9">IF(ABS(Y2)&lt;0.0001,"PASS","FAIL")</f>
        <v>PASS</v>
      </c>
    </row>
    <row r="3" spans="1:26">
      <c r="A3">
        <v>503800</v>
      </c>
      <c r="B3">
        <v>42</v>
      </c>
      <c r="C3">
        <v>1</v>
      </c>
      <c r="D3">
        <v>6</v>
      </c>
      <c r="E3" t="s">
        <v>144</v>
      </c>
      <c r="F3" t="s">
        <v>145</v>
      </c>
      <c r="G3" t="s">
        <v>93</v>
      </c>
      <c r="H3" t="s">
        <v>95</v>
      </c>
      <c r="I3" t="s">
        <v>146</v>
      </c>
      <c r="J3" t="s">
        <v>142</v>
      </c>
      <c r="K3" t="s">
        <v>115</v>
      </c>
      <c r="L3" t="s">
        <v>147</v>
      </c>
      <c r="M3" s="9">
        <v>0.36</v>
      </c>
      <c r="N3">
        <v>0</v>
      </c>
      <c r="O3" s="11">
        <v>0</v>
      </c>
      <c r="P3" s="8">
        <f t="shared" si="0"/>
        <v>0.17907586241170845</v>
      </c>
      <c r="Q3" s="11">
        <f t="shared" si="1"/>
        <v>2043.1367434505037</v>
      </c>
      <c r="R3" s="11">
        <f t="shared" si="2"/>
        <v>365.87647435844843</v>
      </c>
      <c r="S3" s="11">
        <f t="shared" si="3"/>
        <v>298.43471380708701</v>
      </c>
      <c r="T3" s="11">
        <f t="shared" si="4"/>
        <v>160.8676447480745</v>
      </c>
      <c r="U3" s="9">
        <f t="shared" si="5"/>
        <v>0.75</v>
      </c>
      <c r="V3" s="11">
        <f t="shared" si="6"/>
        <v>120.65073356105587</v>
      </c>
      <c r="W3" s="11">
        <v>120.6507335610559</v>
      </c>
      <c r="X3" s="9">
        <f t="shared" si="7"/>
        <v>0</v>
      </c>
      <c r="Y3" s="12">
        <f t="shared" si="8"/>
        <v>0</v>
      </c>
      <c r="Z3" t="str">
        <f t="shared" si="9"/>
        <v>PASS</v>
      </c>
    </row>
    <row r="4" spans="1:26">
      <c r="A4">
        <v>294449</v>
      </c>
      <c r="B4">
        <v>50</v>
      </c>
      <c r="C4">
        <v>6</v>
      </c>
      <c r="D4">
        <v>6</v>
      </c>
      <c r="E4" t="s">
        <v>89</v>
      </c>
      <c r="F4" t="s">
        <v>89</v>
      </c>
      <c r="G4" t="s">
        <v>92</v>
      </c>
      <c r="H4" t="s">
        <v>140</v>
      </c>
      <c r="I4" t="s">
        <v>141</v>
      </c>
      <c r="J4" t="s">
        <v>142</v>
      </c>
      <c r="K4" t="s">
        <v>116</v>
      </c>
      <c r="L4" t="s">
        <v>147</v>
      </c>
      <c r="M4" s="9">
        <v>0.31</v>
      </c>
      <c r="N4">
        <v>0</v>
      </c>
      <c r="O4" s="11">
        <v>0</v>
      </c>
      <c r="P4" s="8">
        <f t="shared" si="0"/>
        <v>9.2429529142770681E-2</v>
      </c>
      <c r="Q4" s="11">
        <f t="shared" si="1"/>
        <v>1741.772324671819</v>
      </c>
      <c r="R4" s="11">
        <f t="shared" si="2"/>
        <v>160.99119584332533</v>
      </c>
      <c r="S4" s="11">
        <f t="shared" si="3"/>
        <v>131.31579870285276</v>
      </c>
      <c r="T4" s="11">
        <f t="shared" si="4"/>
        <v>95.006599640130716</v>
      </c>
      <c r="U4" s="9">
        <f t="shared" si="5"/>
        <v>1.1200000000000001</v>
      </c>
      <c r="V4" s="11">
        <f t="shared" si="6"/>
        <v>106.40739159694641</v>
      </c>
      <c r="W4" s="11">
        <v>106.4073915969464</v>
      </c>
      <c r="X4" s="9">
        <f t="shared" si="7"/>
        <v>0</v>
      </c>
      <c r="Y4" s="12">
        <f t="shared" si="8"/>
        <v>0</v>
      </c>
      <c r="Z4" t="str">
        <f t="shared" si="9"/>
        <v>PASS</v>
      </c>
    </row>
    <row r="5" spans="1:26">
      <c r="A5">
        <v>621912</v>
      </c>
      <c r="B5">
        <v>33</v>
      </c>
      <c r="C5">
        <v>1</v>
      </c>
      <c r="D5">
        <v>7</v>
      </c>
      <c r="E5" t="s">
        <v>144</v>
      </c>
      <c r="F5" t="s">
        <v>145</v>
      </c>
      <c r="G5" t="s">
        <v>92</v>
      </c>
      <c r="H5" t="s">
        <v>148</v>
      </c>
      <c r="I5" t="s">
        <v>141</v>
      </c>
      <c r="J5" t="s">
        <v>149</v>
      </c>
      <c r="K5" t="s">
        <v>115</v>
      </c>
      <c r="L5" t="s">
        <v>143</v>
      </c>
      <c r="M5" s="9">
        <v>0.03</v>
      </c>
      <c r="N5">
        <v>0</v>
      </c>
      <c r="O5" s="11">
        <v>0</v>
      </c>
      <c r="P5" s="8">
        <f t="shared" si="0"/>
        <v>0.12531532896236219</v>
      </c>
      <c r="Q5" s="11">
        <f t="shared" si="1"/>
        <v>2388.2821777081399</v>
      </c>
      <c r="R5" s="11">
        <f t="shared" si="2"/>
        <v>299.28836675444234</v>
      </c>
      <c r="S5" s="11">
        <f t="shared" si="3"/>
        <v>244.12074658467324</v>
      </c>
      <c r="T5" s="11">
        <f t="shared" si="4"/>
        <v>138.19156258510591</v>
      </c>
      <c r="U5" s="9">
        <f t="shared" si="5"/>
        <v>0.75</v>
      </c>
      <c r="V5" s="11">
        <f t="shared" si="6"/>
        <v>103.64367193882944</v>
      </c>
      <c r="W5" s="11">
        <v>103.6436719388294</v>
      </c>
      <c r="X5" s="9">
        <f t="shared" si="7"/>
        <v>0</v>
      </c>
      <c r="Y5" s="12">
        <f t="shared" si="8"/>
        <v>0</v>
      </c>
      <c r="Z5" t="str">
        <f t="shared" si="9"/>
        <v>PASS</v>
      </c>
    </row>
    <row r="6" spans="1:26">
      <c r="A6">
        <v>121622</v>
      </c>
      <c r="B6">
        <v>44</v>
      </c>
      <c r="C6">
        <v>13</v>
      </c>
      <c r="D6">
        <v>5</v>
      </c>
      <c r="E6" t="s">
        <v>150</v>
      </c>
      <c r="F6" t="s">
        <v>150</v>
      </c>
      <c r="G6" t="s">
        <v>92</v>
      </c>
      <c r="H6" t="s">
        <v>148</v>
      </c>
      <c r="I6" t="s">
        <v>141</v>
      </c>
      <c r="J6" t="s">
        <v>151</v>
      </c>
      <c r="K6" t="s">
        <v>104</v>
      </c>
      <c r="L6" t="s">
        <v>147</v>
      </c>
      <c r="M6" s="9">
        <v>1</v>
      </c>
      <c r="N6">
        <v>0</v>
      </c>
      <c r="O6" s="11">
        <v>0</v>
      </c>
      <c r="P6" s="8">
        <f t="shared" si="0"/>
        <v>9.0080867974768081E-2</v>
      </c>
      <c r="Q6" s="11">
        <f t="shared" si="1"/>
        <v>1629.9037143552355</v>
      </c>
      <c r="R6" s="11">
        <f t="shared" si="2"/>
        <v>146.82314130441807</v>
      </c>
      <c r="S6" s="11">
        <f t="shared" si="3"/>
        <v>119.75933197747487</v>
      </c>
      <c r="T6" s="11">
        <f t="shared" si="4"/>
        <v>87.885417724906972</v>
      </c>
      <c r="U6" s="9">
        <f t="shared" si="5"/>
        <v>1</v>
      </c>
      <c r="V6" s="11">
        <f t="shared" si="6"/>
        <v>87.885417724906972</v>
      </c>
      <c r="W6" s="11">
        <v>87.885417724906972</v>
      </c>
      <c r="X6" s="9">
        <f t="shared" si="7"/>
        <v>0</v>
      </c>
      <c r="Y6" s="12">
        <f t="shared" si="8"/>
        <v>0</v>
      </c>
      <c r="Z6" t="str">
        <f t="shared" si="9"/>
        <v>PASS</v>
      </c>
    </row>
    <row r="7" spans="1:26">
      <c r="A7">
        <v>554093</v>
      </c>
      <c r="B7">
        <v>63</v>
      </c>
      <c r="C7">
        <v>15</v>
      </c>
      <c r="D7">
        <v>4</v>
      </c>
      <c r="E7" t="s">
        <v>89</v>
      </c>
      <c r="F7" t="s">
        <v>89</v>
      </c>
      <c r="G7" t="s">
        <v>93</v>
      </c>
      <c r="H7" t="s">
        <v>152</v>
      </c>
      <c r="I7" t="s">
        <v>98</v>
      </c>
      <c r="J7" t="s">
        <v>119</v>
      </c>
      <c r="K7" t="s">
        <v>104</v>
      </c>
      <c r="L7" t="s">
        <v>153</v>
      </c>
      <c r="M7" s="9">
        <v>1</v>
      </c>
      <c r="N7">
        <v>0</v>
      </c>
      <c r="O7" s="11">
        <v>0</v>
      </c>
      <c r="P7" s="8">
        <f t="shared" si="0"/>
        <v>8.4133280434910085E-2</v>
      </c>
      <c r="Q7" s="11">
        <f t="shared" si="1"/>
        <v>2024.2521557275868</v>
      </c>
      <c r="R7" s="11">
        <f t="shared" si="2"/>
        <v>170.30697428880035</v>
      </c>
      <c r="S7" s="11">
        <f t="shared" si="3"/>
        <v>138.91440607202148</v>
      </c>
      <c r="T7" s="11">
        <f t="shared" si="4"/>
        <v>101.2887844087093</v>
      </c>
      <c r="U7" s="9">
        <f t="shared" si="5"/>
        <v>0.9</v>
      </c>
      <c r="V7" s="11">
        <f t="shared" si="6"/>
        <v>91.15990596783837</v>
      </c>
      <c r="W7" s="11">
        <v>91.159905967838398</v>
      </c>
      <c r="X7" s="9">
        <f t="shared" si="7"/>
        <v>0</v>
      </c>
      <c r="Y7" s="12">
        <f t="shared" si="8"/>
        <v>0</v>
      </c>
      <c r="Z7" t="str">
        <f t="shared" si="9"/>
        <v>PASS</v>
      </c>
    </row>
    <row r="8" spans="1:26">
      <c r="A8">
        <v>217029</v>
      </c>
      <c r="B8">
        <v>57</v>
      </c>
      <c r="C8">
        <v>3</v>
      </c>
      <c r="D8">
        <v>6</v>
      </c>
      <c r="E8" t="s">
        <v>144</v>
      </c>
      <c r="F8" t="s">
        <v>145</v>
      </c>
      <c r="G8" t="s">
        <v>92</v>
      </c>
      <c r="H8" t="s">
        <v>154</v>
      </c>
      <c r="I8" t="s">
        <v>146</v>
      </c>
      <c r="J8" t="s">
        <v>142</v>
      </c>
      <c r="K8" t="s">
        <v>155</v>
      </c>
      <c r="L8" t="s">
        <v>156</v>
      </c>
      <c r="M8" s="9">
        <v>0.16</v>
      </c>
      <c r="N8">
        <v>0</v>
      </c>
      <c r="O8" s="11">
        <v>0</v>
      </c>
      <c r="P8" s="8">
        <f t="shared" si="0"/>
        <v>0.10899652182283193</v>
      </c>
      <c r="Q8" s="11">
        <f t="shared" si="1"/>
        <v>1917.933447825226</v>
      </c>
      <c r="R8" s="11">
        <f t="shared" si="2"/>
        <v>209.04807490062151</v>
      </c>
      <c r="S8" s="11">
        <f t="shared" si="3"/>
        <v>170.51438607601989</v>
      </c>
      <c r="T8" s="11">
        <f t="shared" si="4"/>
        <v>129.79971150884131</v>
      </c>
      <c r="U8" s="9">
        <f t="shared" si="5"/>
        <v>1</v>
      </c>
      <c r="V8" s="11">
        <f t="shared" si="6"/>
        <v>129.79971150884131</v>
      </c>
      <c r="W8" s="11">
        <v>129.79971150884131</v>
      </c>
      <c r="X8" s="9">
        <f t="shared" si="7"/>
        <v>0</v>
      </c>
      <c r="Y8" s="12">
        <f t="shared" si="8"/>
        <v>0</v>
      </c>
      <c r="Z8" t="str">
        <f t="shared" si="9"/>
        <v>PASS</v>
      </c>
    </row>
    <row r="9" spans="1:26">
      <c r="A9">
        <v>115796</v>
      </c>
      <c r="B9">
        <v>34</v>
      </c>
      <c r="C9">
        <v>2</v>
      </c>
      <c r="D9">
        <v>6</v>
      </c>
      <c r="E9" t="s">
        <v>150</v>
      </c>
      <c r="F9" t="s">
        <v>150</v>
      </c>
      <c r="G9" t="s">
        <v>93</v>
      </c>
      <c r="H9" t="s">
        <v>140</v>
      </c>
      <c r="I9" t="s">
        <v>157</v>
      </c>
      <c r="J9" t="s">
        <v>142</v>
      </c>
      <c r="K9" t="s">
        <v>155</v>
      </c>
      <c r="L9" t="s">
        <v>143</v>
      </c>
      <c r="M9" s="9">
        <v>1</v>
      </c>
      <c r="N9">
        <v>0</v>
      </c>
      <c r="O9" s="11">
        <v>0</v>
      </c>
      <c r="P9" s="8">
        <f t="shared" si="0"/>
        <v>7.8744225684241803E-2</v>
      </c>
      <c r="Q9" s="11">
        <f t="shared" si="1"/>
        <v>2175.7028855548133</v>
      </c>
      <c r="R9" s="11">
        <f t="shared" si="2"/>
        <v>171.32403904198432</v>
      </c>
      <c r="S9" s="11">
        <f t="shared" si="3"/>
        <v>139.74399597411059</v>
      </c>
      <c r="T9" s="11">
        <f t="shared" si="4"/>
        <v>101.90231449399199</v>
      </c>
      <c r="U9" s="9">
        <f t="shared" si="5"/>
        <v>1</v>
      </c>
      <c r="V9" s="11">
        <f t="shared" si="6"/>
        <v>101.90231449399199</v>
      </c>
      <c r="W9" s="11">
        <v>101.90231449399199</v>
      </c>
      <c r="X9" s="9">
        <f t="shared" si="7"/>
        <v>0</v>
      </c>
      <c r="Y9" s="12">
        <f t="shared" si="8"/>
        <v>0</v>
      </c>
      <c r="Z9" t="str">
        <f t="shared" si="9"/>
        <v>PASS</v>
      </c>
    </row>
    <row r="10" spans="1:26">
      <c r="A10">
        <v>555492</v>
      </c>
      <c r="B10">
        <v>21</v>
      </c>
      <c r="C10">
        <v>5</v>
      </c>
      <c r="D10">
        <v>5</v>
      </c>
      <c r="E10" t="s">
        <v>158</v>
      </c>
      <c r="F10" t="s">
        <v>158</v>
      </c>
      <c r="G10" t="s">
        <v>92</v>
      </c>
      <c r="H10" t="s">
        <v>140</v>
      </c>
      <c r="I10" t="s">
        <v>98</v>
      </c>
      <c r="J10" t="s">
        <v>151</v>
      </c>
      <c r="K10" t="s">
        <v>116</v>
      </c>
      <c r="L10" t="s">
        <v>107</v>
      </c>
      <c r="M10" s="9">
        <v>0.75</v>
      </c>
      <c r="N10">
        <v>0</v>
      </c>
      <c r="O10" s="11">
        <v>0</v>
      </c>
      <c r="P10" s="8">
        <f t="shared" si="0"/>
        <v>9.7099868885400675E-2</v>
      </c>
      <c r="Q10" s="11">
        <f t="shared" si="1"/>
        <v>2078.5980937336476</v>
      </c>
      <c r="R10" s="11">
        <f t="shared" si="2"/>
        <v>201.83160236698097</v>
      </c>
      <c r="S10" s="11">
        <f t="shared" si="3"/>
        <v>164.62812099420489</v>
      </c>
      <c r="T10" s="11">
        <f t="shared" si="4"/>
        <v>129.79971150884131</v>
      </c>
      <c r="U10" s="9">
        <f t="shared" si="5"/>
        <v>2.6880000000000002</v>
      </c>
      <c r="V10" s="11">
        <f t="shared" si="6"/>
        <v>348.90162453576545</v>
      </c>
      <c r="W10" s="11">
        <v>348.90162453576539</v>
      </c>
      <c r="X10" s="9">
        <f t="shared" si="7"/>
        <v>0</v>
      </c>
      <c r="Y10" s="12">
        <f t="shared" si="8"/>
        <v>0</v>
      </c>
      <c r="Z10" t="str">
        <f t="shared" si="9"/>
        <v>PASS</v>
      </c>
    </row>
    <row r="11" spans="1:26">
      <c r="A11">
        <v>552991</v>
      </c>
      <c r="B11">
        <v>57</v>
      </c>
      <c r="C11">
        <v>4</v>
      </c>
      <c r="D11">
        <v>7</v>
      </c>
      <c r="E11" t="s">
        <v>159</v>
      </c>
      <c r="F11" t="s">
        <v>145</v>
      </c>
      <c r="G11" t="s">
        <v>92</v>
      </c>
      <c r="H11" t="s">
        <v>160</v>
      </c>
      <c r="I11" t="s">
        <v>157</v>
      </c>
      <c r="J11" t="s">
        <v>149</v>
      </c>
      <c r="K11" t="s">
        <v>155</v>
      </c>
      <c r="L11" t="s">
        <v>156</v>
      </c>
      <c r="M11" s="9">
        <v>1</v>
      </c>
      <c r="N11">
        <v>0</v>
      </c>
      <c r="O11" s="11">
        <v>0</v>
      </c>
      <c r="P11" s="8">
        <f t="shared" si="0"/>
        <v>8.8140676162762263E-2</v>
      </c>
      <c r="Q11" s="11">
        <f t="shared" si="1"/>
        <v>1605.8918772484913</v>
      </c>
      <c r="R11" s="11">
        <f t="shared" si="2"/>
        <v>141.54439590496963</v>
      </c>
      <c r="S11" s="11">
        <f t="shared" si="3"/>
        <v>115.45361411106323</v>
      </c>
      <c r="T11" s="11">
        <f t="shared" si="4"/>
        <v>86.250349874331064</v>
      </c>
      <c r="U11" s="9">
        <f t="shared" si="5"/>
        <v>1</v>
      </c>
      <c r="V11" s="11">
        <f t="shared" si="6"/>
        <v>86.250349874331064</v>
      </c>
      <c r="W11" s="11">
        <v>86.250349874331064</v>
      </c>
      <c r="X11" s="9">
        <f t="shared" si="7"/>
        <v>0</v>
      </c>
      <c r="Y11" s="12">
        <f t="shared" si="8"/>
        <v>0</v>
      </c>
      <c r="Z11" t="str">
        <f t="shared" si="9"/>
        <v>PASS</v>
      </c>
    </row>
    <row r="12" spans="1:26">
      <c r="A12">
        <v>319314</v>
      </c>
      <c r="B12">
        <v>26</v>
      </c>
      <c r="C12">
        <v>7</v>
      </c>
      <c r="D12">
        <v>7</v>
      </c>
      <c r="E12" t="s">
        <v>89</v>
      </c>
      <c r="F12" t="s">
        <v>89</v>
      </c>
      <c r="G12" t="s">
        <v>92</v>
      </c>
      <c r="H12" t="s">
        <v>161</v>
      </c>
      <c r="I12" t="s">
        <v>141</v>
      </c>
      <c r="J12" t="s">
        <v>149</v>
      </c>
      <c r="K12" t="s">
        <v>116</v>
      </c>
      <c r="L12" t="s">
        <v>162</v>
      </c>
      <c r="M12" s="9">
        <v>0.08</v>
      </c>
      <c r="N12">
        <v>0</v>
      </c>
      <c r="O12" s="11">
        <v>0</v>
      </c>
      <c r="P12" s="8">
        <f t="shared" si="0"/>
        <v>9.4659840469964979E-2</v>
      </c>
      <c r="Q12" s="11">
        <f t="shared" si="1"/>
        <v>1693.6955636335022</v>
      </c>
      <c r="R12" s="11">
        <f t="shared" si="2"/>
        <v>160.32495185823473</v>
      </c>
      <c r="S12" s="11">
        <f t="shared" si="3"/>
        <v>130.77236301635543</v>
      </c>
      <c r="T12" s="11">
        <f t="shared" si="4"/>
        <v>95.006599640130716</v>
      </c>
      <c r="U12" s="9">
        <f t="shared" si="5"/>
        <v>1.1200000000000001</v>
      </c>
      <c r="V12" s="11">
        <f t="shared" si="6"/>
        <v>106.40739159694641</v>
      </c>
      <c r="W12" s="11">
        <v>106.4073915969464</v>
      </c>
      <c r="X12" s="9">
        <f t="shared" si="7"/>
        <v>0</v>
      </c>
      <c r="Y12" s="12">
        <f t="shared" si="8"/>
        <v>0</v>
      </c>
      <c r="Z12" t="str">
        <f t="shared" si="9"/>
        <v>PASS</v>
      </c>
    </row>
    <row r="13" spans="1:26">
      <c r="A13">
        <v>440106</v>
      </c>
      <c r="B13">
        <v>23</v>
      </c>
      <c r="C13">
        <v>6</v>
      </c>
      <c r="D13">
        <v>5</v>
      </c>
      <c r="E13" t="s">
        <v>163</v>
      </c>
      <c r="F13" t="s">
        <v>145</v>
      </c>
      <c r="G13" t="s">
        <v>92</v>
      </c>
      <c r="H13" t="s">
        <v>152</v>
      </c>
      <c r="I13" t="s">
        <v>98</v>
      </c>
      <c r="J13" t="s">
        <v>151</v>
      </c>
      <c r="K13" t="s">
        <v>116</v>
      </c>
      <c r="L13" t="s">
        <v>114</v>
      </c>
      <c r="M13" s="9">
        <v>0.02</v>
      </c>
      <c r="N13">
        <v>0</v>
      </c>
      <c r="O13" s="11">
        <v>0</v>
      </c>
      <c r="P13" s="8">
        <f t="shared" si="0"/>
        <v>0.1246049625085849</v>
      </c>
      <c r="Q13" s="11">
        <f t="shared" si="1"/>
        <v>1845.2533838551392</v>
      </c>
      <c r="R13" s="11">
        <f t="shared" si="2"/>
        <v>229.92772871410904</v>
      </c>
      <c r="S13" s="11">
        <f t="shared" si="3"/>
        <v>187.54530756706524</v>
      </c>
      <c r="T13" s="11">
        <f t="shared" si="4"/>
        <v>138.19156258510591</v>
      </c>
      <c r="U13" s="9">
        <f t="shared" si="5"/>
        <v>1.5680000000000001</v>
      </c>
      <c r="V13" s="11">
        <f t="shared" si="6"/>
        <v>216.68437013344609</v>
      </c>
      <c r="W13" s="11">
        <v>216.68437013344601</v>
      </c>
      <c r="X13" s="9">
        <f t="shared" si="7"/>
        <v>0</v>
      </c>
      <c r="Y13" s="12">
        <f t="shared" si="8"/>
        <v>0</v>
      </c>
      <c r="Z13" t="str">
        <f t="shared" si="9"/>
        <v>PASS</v>
      </c>
    </row>
    <row r="14" spans="1:26">
      <c r="A14">
        <v>135430</v>
      </c>
      <c r="B14">
        <v>37</v>
      </c>
      <c r="C14">
        <v>15</v>
      </c>
      <c r="D14">
        <v>4</v>
      </c>
      <c r="E14" t="s">
        <v>164</v>
      </c>
      <c r="F14" t="s">
        <v>145</v>
      </c>
      <c r="G14" t="s">
        <v>93</v>
      </c>
      <c r="H14" t="s">
        <v>152</v>
      </c>
      <c r="I14" t="s">
        <v>146</v>
      </c>
      <c r="J14" t="s">
        <v>119</v>
      </c>
      <c r="K14" t="s">
        <v>104</v>
      </c>
      <c r="L14" t="s">
        <v>143</v>
      </c>
      <c r="M14" s="9">
        <v>1</v>
      </c>
      <c r="N14">
        <v>0</v>
      </c>
      <c r="O14" s="11">
        <v>0</v>
      </c>
      <c r="P14" s="8">
        <f t="shared" si="0"/>
        <v>0.10297512611911755</v>
      </c>
      <c r="Q14" s="11">
        <f t="shared" si="1"/>
        <v>2046.0789136851877</v>
      </c>
      <c r="R14" s="11">
        <f t="shared" si="2"/>
        <v>210.69523418639923</v>
      </c>
      <c r="S14" s="11">
        <f t="shared" si="3"/>
        <v>171.85792561599089</v>
      </c>
      <c r="T14" s="11">
        <f t="shared" si="4"/>
        <v>129.79971150884131</v>
      </c>
      <c r="U14" s="9">
        <f t="shared" si="5"/>
        <v>0.9</v>
      </c>
      <c r="V14" s="11">
        <f t="shared" si="6"/>
        <v>116.81974035795719</v>
      </c>
      <c r="W14" s="11">
        <v>116.8197403579572</v>
      </c>
      <c r="X14" s="9">
        <f t="shared" si="7"/>
        <v>0</v>
      </c>
      <c r="Y14" s="12">
        <f t="shared" si="8"/>
        <v>0</v>
      </c>
      <c r="Z14" t="str">
        <f t="shared" si="9"/>
        <v>PASS</v>
      </c>
    </row>
    <row r="15" spans="1:26">
      <c r="A15">
        <v>293397</v>
      </c>
      <c r="B15">
        <v>45</v>
      </c>
      <c r="C15">
        <v>11</v>
      </c>
      <c r="D15">
        <v>5</v>
      </c>
      <c r="E15" t="s">
        <v>150</v>
      </c>
      <c r="F15" t="s">
        <v>150</v>
      </c>
      <c r="G15" t="s">
        <v>92</v>
      </c>
      <c r="H15" t="s">
        <v>140</v>
      </c>
      <c r="I15" t="s">
        <v>98</v>
      </c>
      <c r="J15" t="s">
        <v>151</v>
      </c>
      <c r="K15" t="s">
        <v>104</v>
      </c>
      <c r="L15" t="s">
        <v>147</v>
      </c>
      <c r="M15" s="9">
        <v>0.28000000000000003</v>
      </c>
      <c r="N15">
        <v>0</v>
      </c>
      <c r="O15" s="11">
        <v>0</v>
      </c>
      <c r="P15" s="8">
        <f t="shared" si="0"/>
        <v>8.8182081885751523E-2</v>
      </c>
      <c r="Q15" s="11">
        <f t="shared" si="1"/>
        <v>1589.9330187035589</v>
      </c>
      <c r="R15" s="11">
        <f t="shared" si="2"/>
        <v>140.20360364817734</v>
      </c>
      <c r="S15" s="11">
        <f t="shared" si="3"/>
        <v>114.359969174935</v>
      </c>
      <c r="T15" s="11">
        <f t="shared" si="4"/>
        <v>86.250349874331064</v>
      </c>
      <c r="U15" s="9">
        <f t="shared" si="5"/>
        <v>1</v>
      </c>
      <c r="V15" s="11">
        <f t="shared" si="6"/>
        <v>86.250349874331064</v>
      </c>
      <c r="W15" s="11">
        <v>86.250349874331064</v>
      </c>
      <c r="X15" s="9">
        <f t="shared" si="7"/>
        <v>0</v>
      </c>
      <c r="Y15" s="12">
        <f t="shared" si="8"/>
        <v>0</v>
      </c>
      <c r="Z15" t="str">
        <f t="shared" si="9"/>
        <v>PASS</v>
      </c>
    </row>
    <row r="16" spans="1:26">
      <c r="A16">
        <v>237375</v>
      </c>
      <c r="B16">
        <v>47</v>
      </c>
      <c r="C16">
        <v>12</v>
      </c>
      <c r="D16">
        <v>5</v>
      </c>
      <c r="E16" t="s">
        <v>150</v>
      </c>
      <c r="F16" t="s">
        <v>150</v>
      </c>
      <c r="G16" t="s">
        <v>92</v>
      </c>
      <c r="H16" t="s">
        <v>161</v>
      </c>
      <c r="I16" t="s">
        <v>165</v>
      </c>
      <c r="J16" t="s">
        <v>151</v>
      </c>
      <c r="K16" t="s">
        <v>104</v>
      </c>
      <c r="L16" t="s">
        <v>147</v>
      </c>
      <c r="M16" s="9">
        <v>1</v>
      </c>
      <c r="N16">
        <v>0</v>
      </c>
      <c r="O16" s="11">
        <v>0</v>
      </c>
      <c r="P16" s="8">
        <f t="shared" si="0"/>
        <v>0.10162548850831174</v>
      </c>
      <c r="Q16" s="11">
        <f t="shared" si="1"/>
        <v>1546.4589928772048</v>
      </c>
      <c r="R16" s="11">
        <f t="shared" si="2"/>
        <v>157.15965060921772</v>
      </c>
      <c r="S16" s="11">
        <f t="shared" si="3"/>
        <v>128.19051958403313</v>
      </c>
      <c r="T16" s="11">
        <f t="shared" si="4"/>
        <v>91.222283677244803</v>
      </c>
      <c r="U16" s="9">
        <f t="shared" si="5"/>
        <v>1</v>
      </c>
      <c r="V16" s="11">
        <f t="shared" si="6"/>
        <v>91.222283677244803</v>
      </c>
      <c r="W16" s="11">
        <v>91.222283677244803</v>
      </c>
      <c r="X16" s="9">
        <f t="shared" si="7"/>
        <v>0</v>
      </c>
      <c r="Y16" s="12">
        <f t="shared" si="8"/>
        <v>0</v>
      </c>
      <c r="Z16" t="str">
        <f t="shared" si="9"/>
        <v>PASS</v>
      </c>
    </row>
    <row r="17" spans="1:26">
      <c r="A17">
        <v>421101</v>
      </c>
      <c r="B17">
        <v>36</v>
      </c>
      <c r="C17">
        <v>11</v>
      </c>
      <c r="D17">
        <v>8</v>
      </c>
      <c r="E17" t="s">
        <v>139</v>
      </c>
      <c r="F17" t="s">
        <v>139</v>
      </c>
      <c r="G17" t="s">
        <v>93</v>
      </c>
      <c r="H17" t="s">
        <v>161</v>
      </c>
      <c r="I17" t="s">
        <v>141</v>
      </c>
      <c r="J17" t="s">
        <v>166</v>
      </c>
      <c r="K17" t="s">
        <v>104</v>
      </c>
      <c r="L17" t="s">
        <v>143</v>
      </c>
      <c r="M17" s="9">
        <v>0.52</v>
      </c>
      <c r="N17">
        <v>0</v>
      </c>
      <c r="O17" s="11">
        <v>0</v>
      </c>
      <c r="P17" s="8">
        <f t="shared" si="0"/>
        <v>8.0571181460026717E-2</v>
      </c>
      <c r="Q17" s="11">
        <f t="shared" si="1"/>
        <v>1741.1989677205142</v>
      </c>
      <c r="R17" s="11">
        <f t="shared" si="2"/>
        <v>140.29045798622076</v>
      </c>
      <c r="S17" s="11">
        <f t="shared" si="3"/>
        <v>114.43081371218585</v>
      </c>
      <c r="T17" s="11">
        <f t="shared" si="4"/>
        <v>86.250349874331064</v>
      </c>
      <c r="U17" s="9">
        <f t="shared" si="5"/>
        <v>1</v>
      </c>
      <c r="V17" s="11">
        <f t="shared" si="6"/>
        <v>86.250349874331064</v>
      </c>
      <c r="W17" s="11">
        <v>86.250349874331064</v>
      </c>
      <c r="X17" s="9">
        <f t="shared" si="7"/>
        <v>0</v>
      </c>
      <c r="Y17" s="12">
        <f t="shared" si="8"/>
        <v>0</v>
      </c>
      <c r="Z17" t="str">
        <f t="shared" si="9"/>
        <v>PASS</v>
      </c>
    </row>
    <row r="18" spans="1:26">
      <c r="A18">
        <v>558726</v>
      </c>
      <c r="B18">
        <v>41</v>
      </c>
      <c r="C18">
        <v>10</v>
      </c>
      <c r="D18">
        <v>5</v>
      </c>
      <c r="E18" t="s">
        <v>89</v>
      </c>
      <c r="F18" t="s">
        <v>89</v>
      </c>
      <c r="G18" t="s">
        <v>93</v>
      </c>
      <c r="H18" t="s">
        <v>154</v>
      </c>
      <c r="I18" t="s">
        <v>165</v>
      </c>
      <c r="J18" t="s">
        <v>151</v>
      </c>
      <c r="K18" t="s">
        <v>116</v>
      </c>
      <c r="L18" t="s">
        <v>147</v>
      </c>
      <c r="M18" s="9">
        <v>0.11</v>
      </c>
      <c r="N18">
        <v>0</v>
      </c>
      <c r="O18" s="11">
        <v>0</v>
      </c>
      <c r="P18" s="8">
        <f t="shared" si="0"/>
        <v>0.10691117866932047</v>
      </c>
      <c r="Q18" s="11">
        <f t="shared" si="1"/>
        <v>1301.1392580078468</v>
      </c>
      <c r="R18" s="11">
        <f t="shared" si="2"/>
        <v>139.10633168654397</v>
      </c>
      <c r="S18" s="11">
        <f t="shared" si="3"/>
        <v>113.46495660433234</v>
      </c>
      <c r="T18" s="11">
        <f t="shared" si="4"/>
        <v>86.250349874331064</v>
      </c>
      <c r="U18" s="9">
        <f t="shared" si="5"/>
        <v>1.1200000000000001</v>
      </c>
      <c r="V18" s="11">
        <f t="shared" si="6"/>
        <v>96.600391859250806</v>
      </c>
      <c r="W18" s="11">
        <v>96.600391859250806</v>
      </c>
      <c r="X18" s="9">
        <f t="shared" si="7"/>
        <v>0</v>
      </c>
      <c r="Y18" s="12">
        <f t="shared" si="8"/>
        <v>0</v>
      </c>
      <c r="Z18" t="str">
        <f t="shared" si="9"/>
        <v>PASS</v>
      </c>
    </row>
    <row r="19" spans="1:26">
      <c r="A19">
        <v>370813</v>
      </c>
      <c r="B19">
        <v>46</v>
      </c>
      <c r="C19">
        <v>0</v>
      </c>
      <c r="D19">
        <v>5</v>
      </c>
      <c r="E19" t="s">
        <v>144</v>
      </c>
      <c r="F19" t="s">
        <v>145</v>
      </c>
      <c r="G19" t="s">
        <v>93</v>
      </c>
      <c r="H19" t="s">
        <v>95</v>
      </c>
      <c r="I19" t="s">
        <v>165</v>
      </c>
      <c r="J19" t="s">
        <v>151</v>
      </c>
      <c r="K19" t="s">
        <v>115</v>
      </c>
      <c r="L19" t="s">
        <v>147</v>
      </c>
      <c r="M19" s="9">
        <v>0.52</v>
      </c>
      <c r="N19">
        <v>0</v>
      </c>
      <c r="O19" s="11">
        <v>0</v>
      </c>
      <c r="P19" s="8">
        <f t="shared" si="0"/>
        <v>0.16894924650281079</v>
      </c>
      <c r="Q19" s="11">
        <f t="shared" si="1"/>
        <v>1757.2551809559327</v>
      </c>
      <c r="R19" s="11">
        <f t="shared" si="2"/>
        <v>296.88693873566524</v>
      </c>
      <c r="S19" s="11">
        <f t="shared" si="3"/>
        <v>242.16197215193958</v>
      </c>
      <c r="T19" s="11">
        <f t="shared" si="4"/>
        <v>138.19156258510591</v>
      </c>
      <c r="U19" s="9">
        <f t="shared" si="5"/>
        <v>0.75</v>
      </c>
      <c r="V19" s="11">
        <f t="shared" si="6"/>
        <v>103.64367193882944</v>
      </c>
      <c r="W19" s="11">
        <v>103.6436719388294</v>
      </c>
      <c r="X19" s="9">
        <f t="shared" si="7"/>
        <v>0</v>
      </c>
      <c r="Y19" s="12">
        <f t="shared" si="8"/>
        <v>0</v>
      </c>
      <c r="Z19" t="str">
        <f t="shared" si="9"/>
        <v>PASS</v>
      </c>
    </row>
    <row r="20" spans="1:26">
      <c r="A20">
        <v>289967</v>
      </c>
      <c r="B20">
        <v>75</v>
      </c>
      <c r="C20">
        <v>18</v>
      </c>
      <c r="D20">
        <v>6</v>
      </c>
      <c r="E20" t="s">
        <v>89</v>
      </c>
      <c r="F20" t="s">
        <v>89</v>
      </c>
      <c r="G20" t="s">
        <v>93</v>
      </c>
      <c r="H20" t="s">
        <v>140</v>
      </c>
      <c r="I20" t="s">
        <v>157</v>
      </c>
      <c r="J20" t="s">
        <v>142</v>
      </c>
      <c r="K20" t="s">
        <v>104</v>
      </c>
      <c r="L20" t="s">
        <v>153</v>
      </c>
      <c r="M20" s="9">
        <v>0.78</v>
      </c>
      <c r="N20">
        <v>0</v>
      </c>
      <c r="O20" s="11">
        <v>0</v>
      </c>
      <c r="P20" s="8">
        <f t="shared" si="0"/>
        <v>8.6252598017080809E-2</v>
      </c>
      <c r="Q20" s="11">
        <f t="shared" si="1"/>
        <v>2104.7833300993052</v>
      </c>
      <c r="R20" s="11">
        <f t="shared" si="2"/>
        <v>181.54303048410807</v>
      </c>
      <c r="S20" s="11">
        <f t="shared" si="3"/>
        <v>148.07932770533165</v>
      </c>
      <c r="T20" s="11">
        <f t="shared" si="4"/>
        <v>113.37839590964759</v>
      </c>
      <c r="U20" s="9">
        <f t="shared" si="5"/>
        <v>1</v>
      </c>
      <c r="V20" s="11">
        <f t="shared" si="6"/>
        <v>113.37839590964759</v>
      </c>
      <c r="W20" s="11">
        <v>113.37839590964759</v>
      </c>
      <c r="X20" s="9">
        <f t="shared" si="7"/>
        <v>0</v>
      </c>
      <c r="Y20" s="12">
        <f t="shared" si="8"/>
        <v>0</v>
      </c>
      <c r="Z20" t="str">
        <f t="shared" si="9"/>
        <v>PASS</v>
      </c>
    </row>
    <row r="21" spans="1:26">
      <c r="A21">
        <v>572562</v>
      </c>
      <c r="B21">
        <v>41</v>
      </c>
      <c r="C21">
        <v>5</v>
      </c>
      <c r="D21">
        <v>12</v>
      </c>
      <c r="E21" t="s">
        <v>167</v>
      </c>
      <c r="F21" t="s">
        <v>145</v>
      </c>
      <c r="G21" t="s">
        <v>92</v>
      </c>
      <c r="H21" t="s">
        <v>140</v>
      </c>
      <c r="I21" t="s">
        <v>157</v>
      </c>
      <c r="J21" t="s">
        <v>101</v>
      </c>
      <c r="K21" t="s">
        <v>116</v>
      </c>
      <c r="L21" t="s">
        <v>147</v>
      </c>
      <c r="M21" s="9">
        <v>1</v>
      </c>
      <c r="N21">
        <v>0</v>
      </c>
      <c r="O21" s="11">
        <v>0</v>
      </c>
      <c r="P21" s="8">
        <f t="shared" si="0"/>
        <v>9.8253392255124306E-2</v>
      </c>
      <c r="Q21" s="11">
        <f t="shared" si="1"/>
        <v>1787.8533183227692</v>
      </c>
      <c r="R21" s="11">
        <f t="shared" si="2"/>
        <v>175.66265337979266</v>
      </c>
      <c r="S21" s="11">
        <f t="shared" si="3"/>
        <v>143.28287649517586</v>
      </c>
      <c r="T21" s="11">
        <f t="shared" si="4"/>
        <v>101.90231449399199</v>
      </c>
      <c r="U21" s="9">
        <f t="shared" si="5"/>
        <v>1.1200000000000001</v>
      </c>
      <c r="V21" s="11">
        <f t="shared" si="6"/>
        <v>114.13059223327105</v>
      </c>
      <c r="W21" s="11">
        <v>114.1305922332711</v>
      </c>
      <c r="X21" s="9">
        <f t="shared" si="7"/>
        <v>0</v>
      </c>
      <c r="Y21" s="12">
        <f t="shared" si="8"/>
        <v>0</v>
      </c>
      <c r="Z21" t="str">
        <f t="shared" si="9"/>
        <v>PASS</v>
      </c>
    </row>
    <row r="22" spans="1:26">
      <c r="A22">
        <v>536200</v>
      </c>
      <c r="B22">
        <v>45</v>
      </c>
      <c r="C22">
        <v>12</v>
      </c>
      <c r="D22">
        <v>5</v>
      </c>
      <c r="E22" t="s">
        <v>139</v>
      </c>
      <c r="F22" t="s">
        <v>139</v>
      </c>
      <c r="G22" t="s">
        <v>93</v>
      </c>
      <c r="H22" t="s">
        <v>140</v>
      </c>
      <c r="I22" t="s">
        <v>141</v>
      </c>
      <c r="J22" t="s">
        <v>151</v>
      </c>
      <c r="K22" t="s">
        <v>104</v>
      </c>
      <c r="L22" t="s">
        <v>147</v>
      </c>
      <c r="M22" s="9">
        <v>1</v>
      </c>
      <c r="N22">
        <v>1</v>
      </c>
      <c r="O22" s="11">
        <v>1204</v>
      </c>
      <c r="P22" s="8">
        <f t="shared" si="0"/>
        <v>9.4163730461173892E-2</v>
      </c>
      <c r="Q22" s="11">
        <f t="shared" si="1"/>
        <v>1569.8627600686179</v>
      </c>
      <c r="R22" s="11">
        <f t="shared" si="2"/>
        <v>147.82413380013585</v>
      </c>
      <c r="S22" s="11">
        <f t="shared" si="3"/>
        <v>120.57581221033597</v>
      </c>
      <c r="T22" s="11">
        <f t="shared" si="4"/>
        <v>87.885417724906972</v>
      </c>
      <c r="U22" s="9">
        <f t="shared" si="5"/>
        <v>1</v>
      </c>
      <c r="V22" s="11">
        <f t="shared" si="6"/>
        <v>87.885417724906972</v>
      </c>
      <c r="W22" s="11">
        <v>87.885417724906972</v>
      </c>
      <c r="X22" s="9">
        <f t="shared" si="7"/>
        <v>0</v>
      </c>
      <c r="Y22" s="12">
        <f t="shared" si="8"/>
        <v>0</v>
      </c>
      <c r="Z22" t="str">
        <f t="shared" si="9"/>
        <v>PASS</v>
      </c>
    </row>
    <row r="23" spans="1:26">
      <c r="A23">
        <v>377757</v>
      </c>
      <c r="B23">
        <v>53</v>
      </c>
      <c r="C23">
        <v>1</v>
      </c>
      <c r="D23">
        <v>8</v>
      </c>
      <c r="E23" t="s">
        <v>144</v>
      </c>
      <c r="F23" t="s">
        <v>145</v>
      </c>
      <c r="G23" t="s">
        <v>92</v>
      </c>
      <c r="H23" t="s">
        <v>168</v>
      </c>
      <c r="I23" t="s">
        <v>165</v>
      </c>
      <c r="J23" t="s">
        <v>166</v>
      </c>
      <c r="K23" t="s">
        <v>115</v>
      </c>
      <c r="L23" t="s">
        <v>156</v>
      </c>
      <c r="M23" s="9">
        <v>0.21</v>
      </c>
      <c r="N23">
        <v>0</v>
      </c>
      <c r="O23" s="11">
        <v>0</v>
      </c>
      <c r="P23" s="8">
        <f t="shared" si="0"/>
        <v>0.13568482840224375</v>
      </c>
      <c r="Q23" s="11">
        <f t="shared" si="1"/>
        <v>2134.4468541276337</v>
      </c>
      <c r="R23" s="11">
        <f t="shared" si="2"/>
        <v>289.61205513601698</v>
      </c>
      <c r="S23" s="11">
        <f t="shared" si="3"/>
        <v>236.22806287600756</v>
      </c>
      <c r="T23" s="11">
        <f t="shared" si="4"/>
        <v>138.19156258510591</v>
      </c>
      <c r="U23" s="9">
        <f t="shared" si="5"/>
        <v>0.75</v>
      </c>
      <c r="V23" s="11">
        <f t="shared" si="6"/>
        <v>103.64367193882944</v>
      </c>
      <c r="W23" s="11">
        <v>103.6436719388294</v>
      </c>
      <c r="X23" s="9">
        <f t="shared" si="7"/>
        <v>0</v>
      </c>
      <c r="Y23" s="12">
        <f t="shared" si="8"/>
        <v>0</v>
      </c>
      <c r="Z23" t="str">
        <f t="shared" si="9"/>
        <v>PASS</v>
      </c>
    </row>
    <row r="24" spans="1:26">
      <c r="A24">
        <v>630481</v>
      </c>
      <c r="B24">
        <v>53</v>
      </c>
      <c r="C24">
        <v>0</v>
      </c>
      <c r="D24">
        <v>11</v>
      </c>
      <c r="E24" t="s">
        <v>144</v>
      </c>
      <c r="F24" t="s">
        <v>145</v>
      </c>
      <c r="G24" t="s">
        <v>92</v>
      </c>
      <c r="H24" t="s">
        <v>169</v>
      </c>
      <c r="I24" t="s">
        <v>141</v>
      </c>
      <c r="J24" t="s">
        <v>101</v>
      </c>
      <c r="K24" t="s">
        <v>115</v>
      </c>
      <c r="L24" t="s">
        <v>156</v>
      </c>
      <c r="M24" s="9">
        <v>0.16</v>
      </c>
      <c r="N24">
        <v>0</v>
      </c>
      <c r="O24" s="11">
        <v>0</v>
      </c>
      <c r="P24" s="8">
        <f t="shared" si="0"/>
        <v>0.13604403895811729</v>
      </c>
      <c r="Q24" s="11">
        <f t="shared" si="1"/>
        <v>2587.8623819222889</v>
      </c>
      <c r="R24" s="11">
        <f t="shared" si="2"/>
        <v>352.06325070448207</v>
      </c>
      <c r="S24" s="11">
        <f t="shared" si="3"/>
        <v>287.1676722320496</v>
      </c>
      <c r="T24" s="11">
        <f t="shared" si="4"/>
        <v>160.8676447480745</v>
      </c>
      <c r="U24" s="9">
        <f t="shared" si="5"/>
        <v>0.75</v>
      </c>
      <c r="V24" s="11">
        <f t="shared" si="6"/>
        <v>120.65073356105587</v>
      </c>
      <c r="W24" s="11">
        <v>120.6507335610559</v>
      </c>
      <c r="X24" s="9">
        <f t="shared" si="7"/>
        <v>0</v>
      </c>
      <c r="Y24" s="12">
        <f t="shared" si="8"/>
        <v>0</v>
      </c>
      <c r="Z24" t="str">
        <f t="shared" si="9"/>
        <v>PASS</v>
      </c>
    </row>
    <row r="25" spans="1:26">
      <c r="A25">
        <v>410686</v>
      </c>
      <c r="B25">
        <v>57</v>
      </c>
      <c r="C25">
        <v>7</v>
      </c>
      <c r="D25">
        <v>8</v>
      </c>
      <c r="E25" t="s">
        <v>89</v>
      </c>
      <c r="F25" t="s">
        <v>89</v>
      </c>
      <c r="G25" t="s">
        <v>92</v>
      </c>
      <c r="H25" t="s">
        <v>95</v>
      </c>
      <c r="I25" t="s">
        <v>146</v>
      </c>
      <c r="J25" t="s">
        <v>166</v>
      </c>
      <c r="K25" t="s">
        <v>116</v>
      </c>
      <c r="L25" t="s">
        <v>156</v>
      </c>
      <c r="M25" s="9">
        <v>0.06</v>
      </c>
      <c r="N25">
        <v>0</v>
      </c>
      <c r="O25" s="11">
        <v>0</v>
      </c>
      <c r="P25" s="8">
        <f t="shared" si="0"/>
        <v>9.3025843312027109E-2</v>
      </c>
      <c r="Q25" s="11">
        <f t="shared" si="1"/>
        <v>1564.4082291883108</v>
      </c>
      <c r="R25" s="11">
        <f t="shared" si="2"/>
        <v>145.53039480451758</v>
      </c>
      <c r="S25" s="11">
        <f t="shared" si="3"/>
        <v>118.7048765566955</v>
      </c>
      <c r="T25" s="11">
        <f t="shared" si="4"/>
        <v>86.250349874331064</v>
      </c>
      <c r="U25" s="9">
        <f t="shared" si="5"/>
        <v>1.1200000000000001</v>
      </c>
      <c r="V25" s="11">
        <f t="shared" si="6"/>
        <v>96.600391859250806</v>
      </c>
      <c r="W25" s="11">
        <v>96.600391859250806</v>
      </c>
      <c r="X25" s="9">
        <f t="shared" si="7"/>
        <v>0</v>
      </c>
      <c r="Y25" s="12">
        <f t="shared" si="8"/>
        <v>0</v>
      </c>
      <c r="Z25" t="str">
        <f t="shared" si="9"/>
        <v>PASS</v>
      </c>
    </row>
    <row r="26" spans="1:26">
      <c r="A26">
        <v>81469</v>
      </c>
      <c r="B26">
        <v>45</v>
      </c>
      <c r="C26">
        <v>3</v>
      </c>
      <c r="D26">
        <v>12</v>
      </c>
      <c r="E26" t="s">
        <v>159</v>
      </c>
      <c r="F26" t="s">
        <v>145</v>
      </c>
      <c r="G26" t="s">
        <v>92</v>
      </c>
      <c r="H26" t="s">
        <v>161</v>
      </c>
      <c r="I26" t="s">
        <v>146</v>
      </c>
      <c r="J26" t="s">
        <v>101</v>
      </c>
      <c r="K26" t="s">
        <v>155</v>
      </c>
      <c r="L26" t="s">
        <v>147</v>
      </c>
      <c r="M26" s="9">
        <v>0.38</v>
      </c>
      <c r="N26">
        <v>0</v>
      </c>
      <c r="O26" s="11">
        <v>0</v>
      </c>
      <c r="P26" s="8">
        <f t="shared" si="0"/>
        <v>0.11852917771855678</v>
      </c>
      <c r="Q26" s="11">
        <f t="shared" si="1"/>
        <v>1984.4613053595299</v>
      </c>
      <c r="R26" s="11">
        <f t="shared" si="2"/>
        <v>235.2165667385589</v>
      </c>
      <c r="S26" s="11">
        <f t="shared" si="3"/>
        <v>191.85925769180707</v>
      </c>
      <c r="T26" s="11">
        <f t="shared" si="4"/>
        <v>138.19156258510591</v>
      </c>
      <c r="U26" s="9">
        <f t="shared" si="5"/>
        <v>1</v>
      </c>
      <c r="V26" s="11">
        <f t="shared" si="6"/>
        <v>138.19156258510591</v>
      </c>
      <c r="W26" s="11">
        <v>138.19156258510591</v>
      </c>
      <c r="X26" s="9">
        <f t="shared" si="7"/>
        <v>0</v>
      </c>
      <c r="Y26" s="12">
        <f t="shared" si="8"/>
        <v>0</v>
      </c>
      <c r="Z26" t="str">
        <f t="shared" si="9"/>
        <v>PASS</v>
      </c>
    </row>
    <row r="27" spans="1:26">
      <c r="A27">
        <v>104180</v>
      </c>
      <c r="B27">
        <v>33</v>
      </c>
      <c r="C27">
        <v>17</v>
      </c>
      <c r="D27">
        <v>7</v>
      </c>
      <c r="E27" t="s">
        <v>158</v>
      </c>
      <c r="F27" t="s">
        <v>158</v>
      </c>
      <c r="G27" t="s">
        <v>93</v>
      </c>
      <c r="H27" t="s">
        <v>140</v>
      </c>
      <c r="I27" t="s">
        <v>141</v>
      </c>
      <c r="J27" t="s">
        <v>149</v>
      </c>
      <c r="K27" t="s">
        <v>104</v>
      </c>
      <c r="L27" t="s">
        <v>143</v>
      </c>
      <c r="M27" s="9">
        <v>0.31</v>
      </c>
      <c r="N27">
        <v>0</v>
      </c>
      <c r="O27" s="11">
        <v>0</v>
      </c>
      <c r="P27" s="8">
        <f t="shared" si="0"/>
        <v>8.0333790694948934E-2</v>
      </c>
      <c r="Q27" s="11">
        <f t="shared" si="1"/>
        <v>1838.6241958250382</v>
      </c>
      <c r="R27" s="11">
        <f t="shared" si="2"/>
        <v>147.70365131407743</v>
      </c>
      <c r="S27" s="11">
        <f t="shared" si="3"/>
        <v>120.47753817861894</v>
      </c>
      <c r="T27" s="11">
        <f t="shared" si="4"/>
        <v>87.885417724906972</v>
      </c>
      <c r="U27" s="9">
        <f t="shared" si="5"/>
        <v>1</v>
      </c>
      <c r="V27" s="11">
        <f t="shared" si="6"/>
        <v>87.885417724906972</v>
      </c>
      <c r="W27" s="11">
        <v>87.885417724906972</v>
      </c>
      <c r="X27" s="9">
        <f t="shared" si="7"/>
        <v>0</v>
      </c>
      <c r="Y27" s="12">
        <f t="shared" si="8"/>
        <v>0</v>
      </c>
      <c r="Z27" t="str">
        <f t="shared" si="9"/>
        <v>PASS</v>
      </c>
    </row>
    <row r="28" spans="1:26">
      <c r="A28">
        <v>204157</v>
      </c>
      <c r="B28">
        <v>48</v>
      </c>
      <c r="C28">
        <v>1</v>
      </c>
      <c r="D28">
        <v>10</v>
      </c>
      <c r="E28" t="s">
        <v>144</v>
      </c>
      <c r="F28" t="s">
        <v>145</v>
      </c>
      <c r="G28" t="s">
        <v>93</v>
      </c>
      <c r="H28" t="s">
        <v>170</v>
      </c>
      <c r="I28" t="s">
        <v>141</v>
      </c>
      <c r="J28" t="s">
        <v>101</v>
      </c>
      <c r="K28" t="s">
        <v>115</v>
      </c>
      <c r="L28" t="s">
        <v>147</v>
      </c>
      <c r="M28" s="9">
        <v>0.95</v>
      </c>
      <c r="N28">
        <v>0</v>
      </c>
      <c r="O28" s="11">
        <v>0</v>
      </c>
      <c r="P28" s="8">
        <f t="shared" si="0"/>
        <v>0.14623562535929893</v>
      </c>
      <c r="Q28" s="11">
        <f t="shared" si="1"/>
        <v>1795.2051050526195</v>
      </c>
      <c r="R28" s="11">
        <f t="shared" si="2"/>
        <v>262.52294118557575</v>
      </c>
      <c r="S28" s="11">
        <f t="shared" si="3"/>
        <v>214.13226679274453</v>
      </c>
      <c r="T28" s="11">
        <f t="shared" si="4"/>
        <v>138.19156258510591</v>
      </c>
      <c r="U28" s="9">
        <f t="shared" si="5"/>
        <v>0.75</v>
      </c>
      <c r="V28" s="11">
        <f t="shared" si="6"/>
        <v>103.64367193882944</v>
      </c>
      <c r="W28" s="11">
        <v>103.6436719388294</v>
      </c>
      <c r="X28" s="9">
        <f t="shared" si="7"/>
        <v>0</v>
      </c>
      <c r="Y28" s="12">
        <f t="shared" si="8"/>
        <v>0</v>
      </c>
      <c r="Z28" t="str">
        <f t="shared" si="9"/>
        <v>PASS</v>
      </c>
    </row>
    <row r="29" spans="1:26">
      <c r="A29">
        <v>401991</v>
      </c>
      <c r="B29">
        <v>53</v>
      </c>
      <c r="C29">
        <v>14</v>
      </c>
      <c r="D29">
        <v>5</v>
      </c>
      <c r="E29" t="s">
        <v>89</v>
      </c>
      <c r="F29" t="s">
        <v>89</v>
      </c>
      <c r="G29" t="s">
        <v>93</v>
      </c>
      <c r="H29" t="s">
        <v>154</v>
      </c>
      <c r="I29" t="s">
        <v>141</v>
      </c>
      <c r="J29" t="s">
        <v>151</v>
      </c>
      <c r="K29" t="s">
        <v>104</v>
      </c>
      <c r="L29" t="s">
        <v>156</v>
      </c>
      <c r="M29" s="9">
        <v>1</v>
      </c>
      <c r="N29">
        <v>0</v>
      </c>
      <c r="O29" s="11">
        <v>0</v>
      </c>
      <c r="P29" s="8">
        <f t="shared" si="0"/>
        <v>8.9277789372187652E-2</v>
      </c>
      <c r="Q29" s="11">
        <f t="shared" si="1"/>
        <v>1317.5836046563993</v>
      </c>
      <c r="R29" s="11">
        <f t="shared" si="2"/>
        <v>117.63095153676178</v>
      </c>
      <c r="S29" s="11">
        <f t="shared" si="3"/>
        <v>95.948118605560765</v>
      </c>
      <c r="T29" s="11">
        <f t="shared" si="4"/>
        <v>86.250349874331064</v>
      </c>
      <c r="U29" s="9">
        <f t="shared" si="5"/>
        <v>1</v>
      </c>
      <c r="V29" s="11">
        <f t="shared" si="6"/>
        <v>86.250349874331064</v>
      </c>
      <c r="W29" s="11">
        <v>86.250349874331064</v>
      </c>
      <c r="X29" s="9">
        <f t="shared" si="7"/>
        <v>0</v>
      </c>
      <c r="Y29" s="12">
        <f t="shared" si="8"/>
        <v>0</v>
      </c>
      <c r="Z29" t="str">
        <f t="shared" si="9"/>
        <v>PASS</v>
      </c>
    </row>
    <row r="30" spans="1:26">
      <c r="A30">
        <v>105017</v>
      </c>
      <c r="B30">
        <v>45</v>
      </c>
      <c r="C30">
        <v>15</v>
      </c>
      <c r="D30">
        <v>7</v>
      </c>
      <c r="E30" t="s">
        <v>139</v>
      </c>
      <c r="F30" t="s">
        <v>139</v>
      </c>
      <c r="G30" t="s">
        <v>92</v>
      </c>
      <c r="H30" t="s">
        <v>152</v>
      </c>
      <c r="I30" t="s">
        <v>157</v>
      </c>
      <c r="J30" t="s">
        <v>149</v>
      </c>
      <c r="K30" t="s">
        <v>104</v>
      </c>
      <c r="L30" t="s">
        <v>147</v>
      </c>
      <c r="M30" s="9">
        <v>0.46</v>
      </c>
      <c r="N30">
        <v>0</v>
      </c>
      <c r="O30" s="11">
        <v>0</v>
      </c>
      <c r="P30" s="8">
        <f t="shared" si="0"/>
        <v>8.6420678501201442E-2</v>
      </c>
      <c r="Q30" s="11">
        <f t="shared" si="1"/>
        <v>1613.7449319652733</v>
      </c>
      <c r="R30" s="11">
        <f t="shared" si="2"/>
        <v>139.46093194831408</v>
      </c>
      <c r="S30" s="11">
        <f t="shared" si="3"/>
        <v>113.75419364211359</v>
      </c>
      <c r="T30" s="11">
        <f t="shared" si="4"/>
        <v>86.250349874331064</v>
      </c>
      <c r="U30" s="9">
        <f t="shared" si="5"/>
        <v>1</v>
      </c>
      <c r="V30" s="11">
        <f t="shared" si="6"/>
        <v>86.250349874331064</v>
      </c>
      <c r="W30" s="11">
        <v>86.250349874331064</v>
      </c>
      <c r="X30" s="9">
        <f t="shared" si="7"/>
        <v>0</v>
      </c>
      <c r="Y30" s="12">
        <f t="shared" si="8"/>
        <v>0</v>
      </c>
      <c r="Z30" t="str">
        <f t="shared" si="9"/>
        <v>PASS</v>
      </c>
    </row>
    <row r="31" spans="1:26">
      <c r="A31">
        <v>584947</v>
      </c>
      <c r="B31">
        <v>68</v>
      </c>
      <c r="C31">
        <v>13</v>
      </c>
      <c r="D31">
        <v>7</v>
      </c>
      <c r="E31" t="s">
        <v>150</v>
      </c>
      <c r="F31" t="s">
        <v>150</v>
      </c>
      <c r="G31" t="s">
        <v>92</v>
      </c>
      <c r="H31" t="s">
        <v>140</v>
      </c>
      <c r="I31" t="s">
        <v>98</v>
      </c>
      <c r="J31" t="s">
        <v>149</v>
      </c>
      <c r="K31" t="s">
        <v>104</v>
      </c>
      <c r="L31" t="s">
        <v>153</v>
      </c>
      <c r="M31" s="9">
        <v>1</v>
      </c>
      <c r="N31">
        <v>0</v>
      </c>
      <c r="O31" s="11">
        <v>0</v>
      </c>
      <c r="P31" s="8">
        <f t="shared" si="0"/>
        <v>7.7406502915796968E-2</v>
      </c>
      <c r="Q31" s="11">
        <f t="shared" si="1"/>
        <v>2149.9983728602756</v>
      </c>
      <c r="R31" s="11">
        <f t="shared" si="2"/>
        <v>166.42385531776765</v>
      </c>
      <c r="S31" s="11">
        <f t="shared" si="3"/>
        <v>135.74705976796889</v>
      </c>
      <c r="T31" s="11">
        <f t="shared" si="4"/>
        <v>101.2887844087093</v>
      </c>
      <c r="U31" s="9">
        <f t="shared" si="5"/>
        <v>1</v>
      </c>
      <c r="V31" s="11">
        <f t="shared" si="6"/>
        <v>101.2887844087093</v>
      </c>
      <c r="W31" s="11">
        <v>101.2887844087093</v>
      </c>
      <c r="X31" s="9">
        <f t="shared" si="7"/>
        <v>0</v>
      </c>
      <c r="Y31" s="12">
        <f t="shared" si="8"/>
        <v>0</v>
      </c>
      <c r="Z31" t="str">
        <f t="shared" si="9"/>
        <v>PASS</v>
      </c>
    </row>
    <row r="32" spans="1:26">
      <c r="A32">
        <v>283975</v>
      </c>
      <c r="B32">
        <v>69</v>
      </c>
      <c r="C32">
        <v>4</v>
      </c>
      <c r="D32">
        <v>6</v>
      </c>
      <c r="E32" t="s">
        <v>150</v>
      </c>
      <c r="F32" t="s">
        <v>150</v>
      </c>
      <c r="G32" t="s">
        <v>93</v>
      </c>
      <c r="H32" t="s">
        <v>171</v>
      </c>
      <c r="I32" t="s">
        <v>98</v>
      </c>
      <c r="J32" t="s">
        <v>142</v>
      </c>
      <c r="K32" t="s">
        <v>155</v>
      </c>
      <c r="L32" t="s">
        <v>153</v>
      </c>
      <c r="M32" s="9">
        <v>1</v>
      </c>
      <c r="N32">
        <v>0</v>
      </c>
      <c r="O32" s="11">
        <v>0</v>
      </c>
      <c r="P32" s="8">
        <f t="shared" si="0"/>
        <v>8.7973684283443362E-2</v>
      </c>
      <c r="Q32" s="11">
        <f t="shared" si="1"/>
        <v>2473.7863396851703</v>
      </c>
      <c r="R32" s="11">
        <f t="shared" si="2"/>
        <v>217.62809843215814</v>
      </c>
      <c r="S32" s="11">
        <f t="shared" si="3"/>
        <v>177.51285973186805</v>
      </c>
      <c r="T32" s="11">
        <f t="shared" si="4"/>
        <v>131.45263853200541</v>
      </c>
      <c r="U32" s="9">
        <f t="shared" si="5"/>
        <v>1</v>
      </c>
      <c r="V32" s="11">
        <f t="shared" si="6"/>
        <v>131.45263853200541</v>
      </c>
      <c r="W32" s="11">
        <v>131.45263853200541</v>
      </c>
      <c r="X32" s="9">
        <f t="shared" si="7"/>
        <v>0</v>
      </c>
      <c r="Y32" s="12">
        <f t="shared" si="8"/>
        <v>0</v>
      </c>
      <c r="Z32" t="str">
        <f t="shared" si="9"/>
        <v>PASS</v>
      </c>
    </row>
    <row r="33" spans="1:26">
      <c r="A33">
        <v>493162</v>
      </c>
      <c r="B33">
        <v>31</v>
      </c>
      <c r="C33">
        <v>3</v>
      </c>
      <c r="D33">
        <v>4</v>
      </c>
      <c r="E33" t="s">
        <v>144</v>
      </c>
      <c r="F33" t="s">
        <v>145</v>
      </c>
      <c r="G33" t="s">
        <v>93</v>
      </c>
      <c r="H33" t="s">
        <v>95</v>
      </c>
      <c r="I33" t="s">
        <v>172</v>
      </c>
      <c r="J33" t="s">
        <v>119</v>
      </c>
      <c r="K33" t="s">
        <v>155</v>
      </c>
      <c r="L33" t="s">
        <v>143</v>
      </c>
      <c r="M33" s="9">
        <v>0.87</v>
      </c>
      <c r="N33">
        <v>0</v>
      </c>
      <c r="O33" s="11">
        <v>0</v>
      </c>
      <c r="P33" s="8">
        <f t="shared" si="0"/>
        <v>9.4087851509015871E-2</v>
      </c>
      <c r="Q33" s="11">
        <f t="shared" si="1"/>
        <v>1836.7340759242495</v>
      </c>
      <c r="R33" s="11">
        <f t="shared" si="2"/>
        <v>172.81436299711027</v>
      </c>
      <c r="S33" s="11">
        <f t="shared" si="3"/>
        <v>140.95960953277881</v>
      </c>
      <c r="T33" s="11">
        <f t="shared" si="4"/>
        <v>101.90231449399199</v>
      </c>
      <c r="U33" s="9">
        <f t="shared" si="5"/>
        <v>0.9</v>
      </c>
      <c r="V33" s="11">
        <f t="shared" si="6"/>
        <v>91.712083044592802</v>
      </c>
      <c r="W33" s="11">
        <v>91.712083044592816</v>
      </c>
      <c r="X33" s="9">
        <f t="shared" si="7"/>
        <v>0</v>
      </c>
      <c r="Y33" s="12">
        <f t="shared" si="8"/>
        <v>0</v>
      </c>
      <c r="Z33" t="str">
        <f t="shared" si="9"/>
        <v>PASS</v>
      </c>
    </row>
    <row r="34" spans="1:26">
      <c r="A34">
        <v>13213</v>
      </c>
      <c r="B34">
        <v>44</v>
      </c>
      <c r="C34">
        <v>3</v>
      </c>
      <c r="D34">
        <v>7</v>
      </c>
      <c r="E34" t="s">
        <v>139</v>
      </c>
      <c r="F34" t="s">
        <v>139</v>
      </c>
      <c r="G34" t="s">
        <v>93</v>
      </c>
      <c r="H34" t="s">
        <v>173</v>
      </c>
      <c r="I34" t="s">
        <v>98</v>
      </c>
      <c r="J34" t="s">
        <v>149</v>
      </c>
      <c r="K34" t="s">
        <v>155</v>
      </c>
      <c r="L34" t="s">
        <v>147</v>
      </c>
      <c r="M34" s="9">
        <v>0.67</v>
      </c>
      <c r="N34">
        <v>0</v>
      </c>
      <c r="O34" s="11">
        <v>0</v>
      </c>
      <c r="P34" s="8">
        <f t="shared" ref="P34:P65" si="10">EXP(FreqIntercept + IFERROR(VLOOKUP("VehBrand_Bin_"&amp;F34, FreqCoefs, 2, FALSE), 0) + IFERROR(VLOOKUP("VehGas_"&amp;G34, FreqCoefs, 2, FALSE), 0) + IFERROR(VLOOKUP("Region_"&amp;H34, FreqCoefs, 2, FALSE), 0) + IFERROR(VLOOKUP("Area_"&amp;I34, FreqCoefs, 2, FALSE), 0) + IFERROR(VLOOKUP("VehPower_Bin_"&amp;J34, FreqCoefs, 2, FALSE), 0) + IFERROR(VLOOKUP("VehAge_Bin_"&amp;K34, FreqCoefs, 2, FALSE), 0) + IFERROR(VLOOKUP("DriverAge_Bin_"&amp;L34, FreqCoefs, 2, FALSE), 0))</f>
        <v>9.2132264627832638E-2</v>
      </c>
      <c r="Q34" s="11">
        <f t="shared" ref="Q34:Q65" si="11">EXP(SevIntercept + IFERROR(VLOOKUP("VehBrand_Bin_"&amp;F34, SevCoefs, 2, FALSE), 0) + IFERROR(VLOOKUP("VehGas_"&amp;G34, SevCoefs, 2, FALSE), 0) + IFERROR(VLOOKUP("Region_"&amp;H34, SevCoefs, 2, FALSE), 0) + IFERROR(VLOOKUP("Area_"&amp;I34, SevCoefs, 2, FALSE), 0) + IFERROR(VLOOKUP("VehPower_Bin_"&amp;J34, SevCoefs, 2, FALSE), 0) + IFERROR(VLOOKUP("VehAge_Bin_"&amp;K34, SevCoefs, 2, FALSE), 0) + IFERROR(VLOOKUP("DriverAge_Bin_"&amp;L34, SevCoefs, 2, FALSE), 0))</f>
        <v>1892.9884950213732</v>
      </c>
      <c r="R34" s="11">
        <f t="shared" ref="R34:R65" si="12">P34*Q34</f>
        <v>174.4053169607518</v>
      </c>
      <c r="S34" s="11">
        <f t="shared" ref="S34:S65" si="13">R34*OffBalance</f>
        <v>142.25730403924345</v>
      </c>
      <c r="T34" s="11">
        <f t="shared" ref="T34:T65" si="14">IF(S34&lt;=MIN(KnotsX),INDEX(KnotsY,1),IF(S34&gt;=MAX(KnotsX),INDEX(KnotsY,COUNT(KnotsX)),INDEX(KnotsY,MATCH(S34,KnotsX,1))+(S34-INDEX(KnotsX,MATCH(S34,KnotsX,1)))*(INDEX(KnotsY,MATCH(S34,KnotsX,1)+1)-INDEX(KnotsY,MATCH(S34,KnotsX,1)))/(INDEX(KnotsX,MATCH(S34,KnotsX,1)+1)-INDEX(KnotsX,MATCH(S34,KnotsX,1)))))</f>
        <v>101.90231449399199</v>
      </c>
      <c r="U34" s="9">
        <f t="shared" ref="U34:U65" si="15">IFERROR(INDEX(LoadingsMult, MATCH("DriverAge_Bin|"&amp;L34, LoadingsKeys, 0)), 1) * IFERROR(INDEX(LoadingsMult, MATCH("VehAge_Bin|"&amp;K34, LoadingsKeys, 0)), 1) * IFERROR(INDEX(LoadingsMult, MATCH("VehPower_Bin|"&amp;J34, LoadingsKeys, 0)), 1)</f>
        <v>1</v>
      </c>
      <c r="V34" s="11">
        <f t="shared" ref="V34:V65" si="16">T34*U34</f>
        <v>101.90231449399199</v>
      </c>
      <c r="W34" s="11">
        <v>101.90231449399199</v>
      </c>
      <c r="X34" s="9">
        <f t="shared" ref="X34:X65" si="17">V34-W34</f>
        <v>0</v>
      </c>
      <c r="Y34" s="12">
        <f t="shared" ref="Y34:Y65" si="18">IFERROR(X34/W34,0)</f>
        <v>0</v>
      </c>
      <c r="Z34" t="str">
        <f t="shared" ref="Z34:Z65" si="19">IF(ABS(Y34)&lt;0.0001,"PASS","FAIL")</f>
        <v>PASS</v>
      </c>
    </row>
    <row r="35" spans="1:26">
      <c r="A35">
        <v>40897</v>
      </c>
      <c r="B35">
        <v>36</v>
      </c>
      <c r="C35">
        <v>12</v>
      </c>
      <c r="D35">
        <v>9</v>
      </c>
      <c r="E35" t="s">
        <v>139</v>
      </c>
      <c r="F35" t="s">
        <v>139</v>
      </c>
      <c r="G35" t="s">
        <v>93</v>
      </c>
      <c r="H35" t="s">
        <v>154</v>
      </c>
      <c r="I35" t="s">
        <v>141</v>
      </c>
      <c r="J35" t="s">
        <v>118</v>
      </c>
      <c r="K35" t="s">
        <v>104</v>
      </c>
      <c r="L35" t="s">
        <v>143</v>
      </c>
      <c r="M35" s="9">
        <v>0.74</v>
      </c>
      <c r="N35">
        <v>0</v>
      </c>
      <c r="O35" s="11">
        <v>0</v>
      </c>
      <c r="P35" s="8">
        <f t="shared" si="10"/>
        <v>8.471617435994365E-2</v>
      </c>
      <c r="Q35" s="11">
        <f t="shared" si="11"/>
        <v>1441.4352370788481</v>
      </c>
      <c r="R35" s="11">
        <f t="shared" si="12"/>
        <v>122.11287887293841</v>
      </c>
      <c r="S35" s="11">
        <f t="shared" si="13"/>
        <v>99.603895337916683</v>
      </c>
      <c r="T35" s="11">
        <f t="shared" si="14"/>
        <v>86.250349874331064</v>
      </c>
      <c r="U35" s="9">
        <f t="shared" si="15"/>
        <v>1.3</v>
      </c>
      <c r="V35" s="11">
        <f t="shared" si="16"/>
        <v>112.12545483663038</v>
      </c>
      <c r="W35" s="11">
        <v>112.1254548366304</v>
      </c>
      <c r="X35" s="9">
        <f t="shared" si="17"/>
        <v>0</v>
      </c>
      <c r="Y35" s="12">
        <f t="shared" si="18"/>
        <v>0</v>
      </c>
      <c r="Z35" t="str">
        <f t="shared" si="19"/>
        <v>PASS</v>
      </c>
    </row>
    <row r="36" spans="1:26">
      <c r="A36">
        <v>161312</v>
      </c>
      <c r="B36">
        <v>66</v>
      </c>
      <c r="C36">
        <v>14</v>
      </c>
      <c r="D36">
        <v>5</v>
      </c>
      <c r="E36" t="s">
        <v>89</v>
      </c>
      <c r="F36" t="s">
        <v>89</v>
      </c>
      <c r="G36" t="s">
        <v>93</v>
      </c>
      <c r="H36" t="s">
        <v>140</v>
      </c>
      <c r="I36" t="s">
        <v>165</v>
      </c>
      <c r="J36" t="s">
        <v>151</v>
      </c>
      <c r="K36" t="s">
        <v>104</v>
      </c>
      <c r="L36" t="s">
        <v>153</v>
      </c>
      <c r="M36" s="9">
        <v>0.43</v>
      </c>
      <c r="N36">
        <v>0</v>
      </c>
      <c r="O36" s="11">
        <v>0</v>
      </c>
      <c r="P36" s="8">
        <f t="shared" si="10"/>
        <v>9.5675732108646022E-2</v>
      </c>
      <c r="Q36" s="11">
        <f t="shared" si="11"/>
        <v>1959.6806744237977</v>
      </c>
      <c r="R36" s="11">
        <f t="shared" si="12"/>
        <v>187.49388322466203</v>
      </c>
      <c r="S36" s="11">
        <f t="shared" si="13"/>
        <v>152.93326382584718</v>
      </c>
      <c r="T36" s="11">
        <f t="shared" si="14"/>
        <v>114.2609258561382</v>
      </c>
      <c r="U36" s="9">
        <f t="shared" si="15"/>
        <v>1</v>
      </c>
      <c r="V36" s="11">
        <f t="shared" si="16"/>
        <v>114.2609258561382</v>
      </c>
      <c r="W36" s="11">
        <v>114.2609258561382</v>
      </c>
      <c r="X36" s="9">
        <f t="shared" si="17"/>
        <v>0</v>
      </c>
      <c r="Y36" s="12">
        <f t="shared" si="18"/>
        <v>0</v>
      </c>
      <c r="Z36" t="str">
        <f t="shared" si="19"/>
        <v>PASS</v>
      </c>
    </row>
    <row r="37" spans="1:26">
      <c r="A37">
        <v>86940</v>
      </c>
      <c r="B37">
        <v>51</v>
      </c>
      <c r="C37">
        <v>3</v>
      </c>
      <c r="D37">
        <v>5</v>
      </c>
      <c r="E37" t="s">
        <v>158</v>
      </c>
      <c r="F37" t="s">
        <v>158</v>
      </c>
      <c r="G37" t="s">
        <v>93</v>
      </c>
      <c r="H37" t="s">
        <v>140</v>
      </c>
      <c r="I37" t="s">
        <v>141</v>
      </c>
      <c r="J37" t="s">
        <v>151</v>
      </c>
      <c r="K37" t="s">
        <v>155</v>
      </c>
      <c r="L37" t="s">
        <v>156</v>
      </c>
      <c r="M37" s="9">
        <v>0.35</v>
      </c>
      <c r="N37">
        <v>0</v>
      </c>
      <c r="O37" s="11">
        <v>0</v>
      </c>
      <c r="P37" s="8">
        <f t="shared" si="10"/>
        <v>8.8881688354571373E-2</v>
      </c>
      <c r="Q37" s="11">
        <f t="shared" si="11"/>
        <v>1701.1288062565231</v>
      </c>
      <c r="R37" s="11">
        <f t="shared" si="12"/>
        <v>151.19920040867632</v>
      </c>
      <c r="S37" s="11">
        <f t="shared" si="13"/>
        <v>123.32875509677265</v>
      </c>
      <c r="T37" s="11">
        <f t="shared" si="14"/>
        <v>87.885417724906972</v>
      </c>
      <c r="U37" s="9">
        <f t="shared" si="15"/>
        <v>1</v>
      </c>
      <c r="V37" s="11">
        <f t="shared" si="16"/>
        <v>87.885417724906972</v>
      </c>
      <c r="W37" s="11">
        <v>87.885417724906972</v>
      </c>
      <c r="X37" s="9">
        <f t="shared" si="17"/>
        <v>0</v>
      </c>
      <c r="Y37" s="12">
        <f t="shared" si="18"/>
        <v>0</v>
      </c>
      <c r="Z37" t="str">
        <f t="shared" si="19"/>
        <v>PASS</v>
      </c>
    </row>
    <row r="38" spans="1:26">
      <c r="A38">
        <v>381557</v>
      </c>
      <c r="B38">
        <v>23</v>
      </c>
      <c r="C38">
        <v>0</v>
      </c>
      <c r="D38">
        <v>4</v>
      </c>
      <c r="E38" t="s">
        <v>144</v>
      </c>
      <c r="F38" t="s">
        <v>145</v>
      </c>
      <c r="G38" t="s">
        <v>92</v>
      </c>
      <c r="H38" t="s">
        <v>170</v>
      </c>
      <c r="I38" t="s">
        <v>165</v>
      </c>
      <c r="J38" t="s">
        <v>119</v>
      </c>
      <c r="K38" t="s">
        <v>115</v>
      </c>
      <c r="L38" t="s">
        <v>114</v>
      </c>
      <c r="M38" s="9">
        <v>0.86</v>
      </c>
      <c r="N38">
        <v>0</v>
      </c>
      <c r="O38" s="11">
        <v>0</v>
      </c>
      <c r="P38" s="8">
        <f t="shared" si="10"/>
        <v>0.16218491046255823</v>
      </c>
      <c r="Q38" s="11">
        <f t="shared" si="11"/>
        <v>2118.5988599053744</v>
      </c>
      <c r="R38" s="11">
        <f t="shared" si="12"/>
        <v>343.60476639983108</v>
      </c>
      <c r="S38" s="11">
        <f t="shared" si="13"/>
        <v>280.26833456043096</v>
      </c>
      <c r="T38" s="11">
        <f t="shared" si="14"/>
        <v>160.8676447480745</v>
      </c>
      <c r="U38" s="9">
        <f t="shared" si="15"/>
        <v>0.94499999999999984</v>
      </c>
      <c r="V38" s="11">
        <f t="shared" si="16"/>
        <v>152.01992428693038</v>
      </c>
      <c r="W38" s="11">
        <v>152.0199242869304</v>
      </c>
      <c r="X38" s="9">
        <f t="shared" si="17"/>
        <v>0</v>
      </c>
      <c r="Y38" s="12">
        <f t="shared" si="18"/>
        <v>0</v>
      </c>
      <c r="Z38" t="str">
        <f t="shared" si="19"/>
        <v>PASS</v>
      </c>
    </row>
    <row r="39" spans="1:26">
      <c r="A39">
        <v>120731</v>
      </c>
      <c r="B39">
        <v>26</v>
      </c>
      <c r="C39">
        <v>11</v>
      </c>
      <c r="D39">
        <v>7</v>
      </c>
      <c r="E39" t="s">
        <v>89</v>
      </c>
      <c r="F39" t="s">
        <v>89</v>
      </c>
      <c r="G39" t="s">
        <v>93</v>
      </c>
      <c r="H39" t="s">
        <v>161</v>
      </c>
      <c r="I39" t="s">
        <v>165</v>
      </c>
      <c r="J39" t="s">
        <v>149</v>
      </c>
      <c r="K39" t="s">
        <v>104</v>
      </c>
      <c r="L39" t="s">
        <v>162</v>
      </c>
      <c r="M39" s="9">
        <v>0.35</v>
      </c>
      <c r="N39">
        <v>0</v>
      </c>
      <c r="O39" s="11">
        <v>0</v>
      </c>
      <c r="P39" s="8">
        <f t="shared" si="10"/>
        <v>0.10410436448476078</v>
      </c>
      <c r="Q39" s="11">
        <f t="shared" si="11"/>
        <v>1942.857099489303</v>
      </c>
      <c r="R39" s="11">
        <f t="shared" si="12"/>
        <v>202.25990362703953</v>
      </c>
      <c r="S39" s="11">
        <f t="shared" si="13"/>
        <v>164.97747377561265</v>
      </c>
      <c r="T39" s="11">
        <f t="shared" si="14"/>
        <v>129.79971150884131</v>
      </c>
      <c r="U39" s="9">
        <f t="shared" si="15"/>
        <v>1</v>
      </c>
      <c r="V39" s="11">
        <f t="shared" si="16"/>
        <v>129.79971150884131</v>
      </c>
      <c r="W39" s="11">
        <v>129.79971150884131</v>
      </c>
      <c r="X39" s="9">
        <f t="shared" si="17"/>
        <v>0</v>
      </c>
      <c r="Y39" s="12">
        <f t="shared" si="18"/>
        <v>0</v>
      </c>
      <c r="Z39" t="str">
        <f t="shared" si="19"/>
        <v>PASS</v>
      </c>
    </row>
    <row r="40" spans="1:26">
      <c r="A40">
        <v>198949</v>
      </c>
      <c r="B40">
        <v>74</v>
      </c>
      <c r="C40">
        <v>1</v>
      </c>
      <c r="D40">
        <v>4</v>
      </c>
      <c r="E40" t="s">
        <v>174</v>
      </c>
      <c r="F40" t="s">
        <v>145</v>
      </c>
      <c r="G40" t="s">
        <v>93</v>
      </c>
      <c r="H40" t="s">
        <v>148</v>
      </c>
      <c r="I40" t="s">
        <v>146</v>
      </c>
      <c r="J40" t="s">
        <v>119</v>
      </c>
      <c r="K40" t="s">
        <v>115</v>
      </c>
      <c r="L40" t="s">
        <v>153</v>
      </c>
      <c r="M40" s="9">
        <v>1</v>
      </c>
      <c r="N40">
        <v>0</v>
      </c>
      <c r="O40" s="11">
        <v>0</v>
      </c>
      <c r="P40" s="8">
        <f t="shared" si="10"/>
        <v>0.15317120517931637</v>
      </c>
      <c r="Q40" s="11">
        <f t="shared" si="11"/>
        <v>2704.5118145756219</v>
      </c>
      <c r="R40" s="11">
        <f t="shared" si="12"/>
        <v>414.25333406024782</v>
      </c>
      <c r="S40" s="11">
        <f t="shared" si="13"/>
        <v>337.8943000111671</v>
      </c>
      <c r="T40" s="11">
        <f t="shared" si="14"/>
        <v>160.8676447480745</v>
      </c>
      <c r="U40" s="9">
        <f t="shared" si="15"/>
        <v>0.67500000000000004</v>
      </c>
      <c r="V40" s="11">
        <f t="shared" si="16"/>
        <v>108.58566020495029</v>
      </c>
      <c r="W40" s="11">
        <v>108.5856602049503</v>
      </c>
      <c r="X40" s="9">
        <f t="shared" si="17"/>
        <v>0</v>
      </c>
      <c r="Y40" s="12">
        <f t="shared" si="18"/>
        <v>0</v>
      </c>
      <c r="Z40" t="str">
        <f t="shared" si="19"/>
        <v>PASS</v>
      </c>
    </row>
    <row r="41" spans="1:26">
      <c r="A41">
        <v>378184</v>
      </c>
      <c r="B41">
        <v>52</v>
      </c>
      <c r="C41">
        <v>6</v>
      </c>
      <c r="D41">
        <v>10</v>
      </c>
      <c r="E41" t="s">
        <v>89</v>
      </c>
      <c r="F41" t="s">
        <v>89</v>
      </c>
      <c r="G41" t="s">
        <v>93</v>
      </c>
      <c r="H41" t="s">
        <v>161</v>
      </c>
      <c r="I41" t="s">
        <v>146</v>
      </c>
      <c r="J41" t="s">
        <v>101</v>
      </c>
      <c r="K41" t="s">
        <v>116</v>
      </c>
      <c r="L41" t="s">
        <v>156</v>
      </c>
      <c r="M41" s="9">
        <v>0.06</v>
      </c>
      <c r="N41">
        <v>0</v>
      </c>
      <c r="O41" s="11">
        <v>0</v>
      </c>
      <c r="P41" s="8">
        <f t="shared" si="10"/>
        <v>0.10973244321801223</v>
      </c>
      <c r="Q41" s="11">
        <f t="shared" si="11"/>
        <v>1870.8903198673672</v>
      </c>
      <c r="R41" s="11">
        <f t="shared" si="12"/>
        <v>205.29736579197461</v>
      </c>
      <c r="S41" s="11">
        <f t="shared" si="13"/>
        <v>167.45504261488207</v>
      </c>
      <c r="T41" s="11">
        <f t="shared" si="14"/>
        <v>129.79971150884131</v>
      </c>
      <c r="U41" s="9">
        <f t="shared" si="15"/>
        <v>1.1200000000000001</v>
      </c>
      <c r="V41" s="11">
        <f t="shared" si="16"/>
        <v>145.37567688990228</v>
      </c>
      <c r="W41" s="11">
        <v>145.37567688990231</v>
      </c>
      <c r="X41" s="9">
        <f t="shared" si="17"/>
        <v>0</v>
      </c>
      <c r="Y41" s="12">
        <f t="shared" si="18"/>
        <v>0</v>
      </c>
      <c r="Z41" t="str">
        <f t="shared" si="19"/>
        <v>PASS</v>
      </c>
    </row>
    <row r="42" spans="1:26">
      <c r="A42">
        <v>438159</v>
      </c>
      <c r="B42">
        <v>20</v>
      </c>
      <c r="C42">
        <v>14</v>
      </c>
      <c r="D42">
        <v>7</v>
      </c>
      <c r="E42" t="s">
        <v>89</v>
      </c>
      <c r="F42" t="s">
        <v>89</v>
      </c>
      <c r="G42" t="s">
        <v>93</v>
      </c>
      <c r="H42" t="s">
        <v>140</v>
      </c>
      <c r="I42" t="s">
        <v>98</v>
      </c>
      <c r="J42" t="s">
        <v>149</v>
      </c>
      <c r="K42" t="s">
        <v>104</v>
      </c>
      <c r="L42" t="s">
        <v>107</v>
      </c>
      <c r="M42" s="9">
        <v>5.4794520547944998E-3</v>
      </c>
      <c r="N42">
        <v>0</v>
      </c>
      <c r="O42" s="11">
        <v>0</v>
      </c>
      <c r="P42" s="8">
        <f t="shared" si="10"/>
        <v>9.0212513213181009E-2</v>
      </c>
      <c r="Q42" s="11">
        <f t="shared" si="11"/>
        <v>2534.6415983967231</v>
      </c>
      <c r="R42" s="11">
        <f t="shared" si="12"/>
        <v>228.65638868604262</v>
      </c>
      <c r="S42" s="11">
        <f t="shared" si="13"/>
        <v>186.50831277779167</v>
      </c>
      <c r="T42" s="11">
        <f t="shared" si="14"/>
        <v>138.19156258510591</v>
      </c>
      <c r="U42" s="9">
        <f t="shared" si="15"/>
        <v>2.4</v>
      </c>
      <c r="V42" s="11">
        <f t="shared" si="16"/>
        <v>331.65975020425418</v>
      </c>
      <c r="W42" s="11">
        <v>331.65975020425412</v>
      </c>
      <c r="X42" s="9">
        <f t="shared" si="17"/>
        <v>0</v>
      </c>
      <c r="Y42" s="12">
        <f t="shared" si="18"/>
        <v>0</v>
      </c>
      <c r="Z42" t="str">
        <f t="shared" si="19"/>
        <v>PASS</v>
      </c>
    </row>
    <row r="43" spans="1:26">
      <c r="A43">
        <v>465226</v>
      </c>
      <c r="B43">
        <v>22</v>
      </c>
      <c r="C43">
        <v>16</v>
      </c>
      <c r="D43">
        <v>4</v>
      </c>
      <c r="E43" t="s">
        <v>139</v>
      </c>
      <c r="F43" t="s">
        <v>139</v>
      </c>
      <c r="G43" t="s">
        <v>92</v>
      </c>
      <c r="H43" t="s">
        <v>170</v>
      </c>
      <c r="I43" t="s">
        <v>157</v>
      </c>
      <c r="J43" t="s">
        <v>119</v>
      </c>
      <c r="K43" t="s">
        <v>104</v>
      </c>
      <c r="L43" t="s">
        <v>114</v>
      </c>
      <c r="M43" s="9">
        <v>0.93</v>
      </c>
      <c r="N43">
        <v>0</v>
      </c>
      <c r="O43" s="11">
        <v>0</v>
      </c>
      <c r="P43" s="8">
        <f t="shared" si="10"/>
        <v>9.2392240846159088E-2</v>
      </c>
      <c r="Q43" s="11">
        <f t="shared" si="11"/>
        <v>1653.5972151541712</v>
      </c>
      <c r="R43" s="11">
        <f t="shared" si="12"/>
        <v>152.77955216506214</v>
      </c>
      <c r="S43" s="11">
        <f t="shared" si="13"/>
        <v>124.61780169360161</v>
      </c>
      <c r="T43" s="11">
        <f t="shared" si="14"/>
        <v>87.885417724906972</v>
      </c>
      <c r="U43" s="9">
        <f t="shared" si="15"/>
        <v>1.26</v>
      </c>
      <c r="V43" s="11">
        <f t="shared" si="16"/>
        <v>110.73562633338278</v>
      </c>
      <c r="W43" s="11">
        <v>110.7356263333828</v>
      </c>
      <c r="X43" s="9">
        <f t="shared" si="17"/>
        <v>0</v>
      </c>
      <c r="Y43" s="12">
        <f t="shared" si="18"/>
        <v>0</v>
      </c>
      <c r="Z43" t="str">
        <f t="shared" si="19"/>
        <v>PASS</v>
      </c>
    </row>
    <row r="44" spans="1:26">
      <c r="A44">
        <v>318535</v>
      </c>
      <c r="B44">
        <v>40</v>
      </c>
      <c r="C44">
        <v>12</v>
      </c>
      <c r="D44">
        <v>8</v>
      </c>
      <c r="E44" t="s">
        <v>167</v>
      </c>
      <c r="F44" t="s">
        <v>145</v>
      </c>
      <c r="G44" t="s">
        <v>93</v>
      </c>
      <c r="H44" t="s">
        <v>140</v>
      </c>
      <c r="I44" t="s">
        <v>98</v>
      </c>
      <c r="J44" t="s">
        <v>166</v>
      </c>
      <c r="K44" t="s">
        <v>104</v>
      </c>
      <c r="L44" t="s">
        <v>143</v>
      </c>
      <c r="M44" s="9">
        <v>0.08</v>
      </c>
      <c r="N44">
        <v>0</v>
      </c>
      <c r="O44" s="11">
        <v>0</v>
      </c>
      <c r="P44" s="8">
        <f t="shared" si="10"/>
        <v>8.5143350844977247E-2</v>
      </c>
      <c r="Q44" s="11">
        <f t="shared" si="11"/>
        <v>2039.7335702220346</v>
      </c>
      <c r="R44" s="11">
        <f t="shared" si="12"/>
        <v>173.66975099969272</v>
      </c>
      <c r="S44" s="11">
        <f t="shared" si="13"/>
        <v>141.65732444924708</v>
      </c>
      <c r="T44" s="11">
        <f t="shared" si="14"/>
        <v>101.90231449399199</v>
      </c>
      <c r="U44" s="9">
        <f t="shared" si="15"/>
        <v>1</v>
      </c>
      <c r="V44" s="11">
        <f t="shared" si="16"/>
        <v>101.90231449399199</v>
      </c>
      <c r="W44" s="11">
        <v>101.90231449399199</v>
      </c>
      <c r="X44" s="9">
        <f t="shared" si="17"/>
        <v>0</v>
      </c>
      <c r="Y44" s="12">
        <f t="shared" si="18"/>
        <v>0</v>
      </c>
      <c r="Z44" t="str">
        <f t="shared" si="19"/>
        <v>PASS</v>
      </c>
    </row>
    <row r="45" spans="1:26">
      <c r="A45">
        <v>243667</v>
      </c>
      <c r="B45">
        <v>66</v>
      </c>
      <c r="C45">
        <v>7</v>
      </c>
      <c r="D45">
        <v>6</v>
      </c>
      <c r="E45" t="s">
        <v>158</v>
      </c>
      <c r="F45" t="s">
        <v>158</v>
      </c>
      <c r="G45" t="s">
        <v>92</v>
      </c>
      <c r="H45" t="s">
        <v>148</v>
      </c>
      <c r="I45" t="s">
        <v>141</v>
      </c>
      <c r="J45" t="s">
        <v>142</v>
      </c>
      <c r="K45" t="s">
        <v>116</v>
      </c>
      <c r="L45" t="s">
        <v>153</v>
      </c>
      <c r="M45" s="9">
        <v>0.82</v>
      </c>
      <c r="N45">
        <v>0</v>
      </c>
      <c r="O45" s="11">
        <v>0</v>
      </c>
      <c r="P45" s="8">
        <f t="shared" si="10"/>
        <v>9.1864089493155457E-2</v>
      </c>
      <c r="Q45" s="11">
        <f t="shared" si="11"/>
        <v>2192.6524709703076</v>
      </c>
      <c r="R45" s="11">
        <f t="shared" si="12"/>
        <v>201.42602282060477</v>
      </c>
      <c r="S45" s="11">
        <f t="shared" si="13"/>
        <v>164.29730164851989</v>
      </c>
      <c r="T45" s="11">
        <f t="shared" si="14"/>
        <v>129.79971150884131</v>
      </c>
      <c r="U45" s="9">
        <f t="shared" si="15"/>
        <v>1.1200000000000001</v>
      </c>
      <c r="V45" s="11">
        <f t="shared" si="16"/>
        <v>145.37567688990228</v>
      </c>
      <c r="W45" s="11">
        <v>145.37567688990231</v>
      </c>
      <c r="X45" s="9">
        <f t="shared" si="17"/>
        <v>0</v>
      </c>
      <c r="Y45" s="12">
        <f t="shared" si="18"/>
        <v>0</v>
      </c>
      <c r="Z45" t="str">
        <f t="shared" si="19"/>
        <v>PASS</v>
      </c>
    </row>
    <row r="46" spans="1:26">
      <c r="A46">
        <v>563181</v>
      </c>
      <c r="B46">
        <v>47</v>
      </c>
      <c r="C46">
        <v>4</v>
      </c>
      <c r="D46">
        <v>6</v>
      </c>
      <c r="E46" t="s">
        <v>150</v>
      </c>
      <c r="F46" t="s">
        <v>150</v>
      </c>
      <c r="G46" t="s">
        <v>93</v>
      </c>
      <c r="H46" t="s">
        <v>140</v>
      </c>
      <c r="I46" t="s">
        <v>165</v>
      </c>
      <c r="J46" t="s">
        <v>142</v>
      </c>
      <c r="K46" t="s">
        <v>155</v>
      </c>
      <c r="L46" t="s">
        <v>147</v>
      </c>
      <c r="M46" s="9">
        <v>0.03</v>
      </c>
      <c r="N46">
        <v>0</v>
      </c>
      <c r="O46" s="11">
        <v>0</v>
      </c>
      <c r="P46" s="8">
        <f t="shared" si="10"/>
        <v>9.6829810946582592E-2</v>
      </c>
      <c r="Q46" s="11">
        <f t="shared" si="11"/>
        <v>2203.2654091858653</v>
      </c>
      <c r="R46" s="11">
        <f t="shared" si="12"/>
        <v>213.34177303661227</v>
      </c>
      <c r="S46" s="11">
        <f t="shared" si="13"/>
        <v>174.01662976806185</v>
      </c>
      <c r="T46" s="11">
        <f t="shared" si="14"/>
        <v>131.45263853200541</v>
      </c>
      <c r="U46" s="9">
        <f t="shared" si="15"/>
        <v>1</v>
      </c>
      <c r="V46" s="11">
        <f t="shared" si="16"/>
        <v>131.45263853200541</v>
      </c>
      <c r="W46" s="11">
        <v>131.45263853200541</v>
      </c>
      <c r="X46" s="9">
        <f t="shared" si="17"/>
        <v>0</v>
      </c>
      <c r="Y46" s="12">
        <f t="shared" si="18"/>
        <v>0</v>
      </c>
      <c r="Z46" t="str">
        <f t="shared" si="19"/>
        <v>PASS</v>
      </c>
    </row>
    <row r="47" spans="1:26">
      <c r="A47">
        <v>633176</v>
      </c>
      <c r="B47">
        <v>24</v>
      </c>
      <c r="C47">
        <v>6</v>
      </c>
      <c r="D47">
        <v>5</v>
      </c>
      <c r="E47" t="s">
        <v>150</v>
      </c>
      <c r="F47" t="s">
        <v>150</v>
      </c>
      <c r="G47" t="s">
        <v>92</v>
      </c>
      <c r="H47" t="s">
        <v>170</v>
      </c>
      <c r="I47" t="s">
        <v>165</v>
      </c>
      <c r="J47" t="s">
        <v>151</v>
      </c>
      <c r="K47" t="s">
        <v>116</v>
      </c>
      <c r="L47" t="s">
        <v>114</v>
      </c>
      <c r="M47" s="9">
        <v>0.68</v>
      </c>
      <c r="N47">
        <v>0</v>
      </c>
      <c r="O47" s="11">
        <v>0</v>
      </c>
      <c r="P47" s="8">
        <f t="shared" si="10"/>
        <v>0.11262000515088509</v>
      </c>
      <c r="Q47" s="11">
        <f t="shared" si="11"/>
        <v>1611.7913207028637</v>
      </c>
      <c r="R47" s="11">
        <f t="shared" si="12"/>
        <v>181.51994683970838</v>
      </c>
      <c r="S47" s="11">
        <f t="shared" si="13"/>
        <v>148.06049905333339</v>
      </c>
      <c r="T47" s="11">
        <f t="shared" si="14"/>
        <v>113.37839590964759</v>
      </c>
      <c r="U47" s="9">
        <f t="shared" si="15"/>
        <v>1.5680000000000001</v>
      </c>
      <c r="V47" s="11">
        <f t="shared" si="16"/>
        <v>177.77732478632743</v>
      </c>
      <c r="W47" s="11">
        <v>177.7773247863274</v>
      </c>
      <c r="X47" s="9">
        <f t="shared" si="17"/>
        <v>0</v>
      </c>
      <c r="Y47" s="12">
        <f t="shared" si="18"/>
        <v>0</v>
      </c>
      <c r="Z47" t="str">
        <f t="shared" si="19"/>
        <v>PASS</v>
      </c>
    </row>
    <row r="48" spans="1:26">
      <c r="A48">
        <v>235738</v>
      </c>
      <c r="B48">
        <v>32</v>
      </c>
      <c r="C48">
        <v>4</v>
      </c>
      <c r="D48">
        <v>11</v>
      </c>
      <c r="E48" t="s">
        <v>167</v>
      </c>
      <c r="F48" t="s">
        <v>145</v>
      </c>
      <c r="G48" t="s">
        <v>92</v>
      </c>
      <c r="H48" t="s">
        <v>161</v>
      </c>
      <c r="I48" t="s">
        <v>165</v>
      </c>
      <c r="J48" t="s">
        <v>101</v>
      </c>
      <c r="K48" t="s">
        <v>155</v>
      </c>
      <c r="L48" t="s">
        <v>143</v>
      </c>
      <c r="M48" s="9">
        <v>0.86</v>
      </c>
      <c r="N48">
        <v>0</v>
      </c>
      <c r="O48" s="11">
        <v>0</v>
      </c>
      <c r="P48" s="8">
        <f t="shared" si="10"/>
        <v>9.9910700928518975E-2</v>
      </c>
      <c r="Q48" s="11">
        <f t="shared" si="11"/>
        <v>2321.0955753754056</v>
      </c>
      <c r="R48" s="11">
        <f t="shared" si="12"/>
        <v>231.90228585784081</v>
      </c>
      <c r="S48" s="11">
        <f t="shared" si="13"/>
        <v>189.15589594151211</v>
      </c>
      <c r="T48" s="11">
        <f t="shared" si="14"/>
        <v>138.19156258510591</v>
      </c>
      <c r="U48" s="9">
        <f t="shared" si="15"/>
        <v>1</v>
      </c>
      <c r="V48" s="11">
        <f t="shared" si="16"/>
        <v>138.19156258510591</v>
      </c>
      <c r="W48" s="11">
        <v>138.19156258510591</v>
      </c>
      <c r="X48" s="9">
        <f t="shared" si="17"/>
        <v>0</v>
      </c>
      <c r="Y48" s="12">
        <f t="shared" si="18"/>
        <v>0</v>
      </c>
      <c r="Z48" t="str">
        <f t="shared" si="19"/>
        <v>PASS</v>
      </c>
    </row>
    <row r="49" spans="1:26">
      <c r="A49">
        <v>639854</v>
      </c>
      <c r="B49">
        <v>69</v>
      </c>
      <c r="C49">
        <v>0</v>
      </c>
      <c r="D49">
        <v>4</v>
      </c>
      <c r="E49" t="s">
        <v>144</v>
      </c>
      <c r="F49" t="s">
        <v>145</v>
      </c>
      <c r="G49" t="s">
        <v>93</v>
      </c>
      <c r="H49" t="s">
        <v>148</v>
      </c>
      <c r="I49" t="s">
        <v>146</v>
      </c>
      <c r="J49" t="s">
        <v>119</v>
      </c>
      <c r="K49" t="s">
        <v>115</v>
      </c>
      <c r="L49" t="s">
        <v>153</v>
      </c>
      <c r="M49" s="9">
        <v>0.01</v>
      </c>
      <c r="N49">
        <v>0</v>
      </c>
      <c r="O49" s="11">
        <v>0</v>
      </c>
      <c r="P49" s="8">
        <f t="shared" si="10"/>
        <v>0.15317120517931637</v>
      </c>
      <c r="Q49" s="11">
        <f t="shared" si="11"/>
        <v>2704.5118145756219</v>
      </c>
      <c r="R49" s="11">
        <f t="shared" si="12"/>
        <v>414.25333406024782</v>
      </c>
      <c r="S49" s="11">
        <f t="shared" si="13"/>
        <v>337.8943000111671</v>
      </c>
      <c r="T49" s="11">
        <f t="shared" si="14"/>
        <v>160.8676447480745</v>
      </c>
      <c r="U49" s="9">
        <f t="shared" si="15"/>
        <v>0.67500000000000004</v>
      </c>
      <c r="V49" s="11">
        <f t="shared" si="16"/>
        <v>108.58566020495029</v>
      </c>
      <c r="W49" s="11">
        <v>108.5856602049503</v>
      </c>
      <c r="X49" s="9">
        <f t="shared" si="17"/>
        <v>0</v>
      </c>
      <c r="Y49" s="12">
        <f t="shared" si="18"/>
        <v>0</v>
      </c>
      <c r="Z49" t="str">
        <f t="shared" si="19"/>
        <v>PASS</v>
      </c>
    </row>
    <row r="50" spans="1:26">
      <c r="A50">
        <v>498159</v>
      </c>
      <c r="B50">
        <v>33</v>
      </c>
      <c r="C50">
        <v>3</v>
      </c>
      <c r="D50">
        <v>6</v>
      </c>
      <c r="E50" t="s">
        <v>144</v>
      </c>
      <c r="F50" t="s">
        <v>145</v>
      </c>
      <c r="G50" t="s">
        <v>92</v>
      </c>
      <c r="H50" t="s">
        <v>175</v>
      </c>
      <c r="I50" t="s">
        <v>165</v>
      </c>
      <c r="J50" t="s">
        <v>142</v>
      </c>
      <c r="K50" t="s">
        <v>155</v>
      </c>
      <c r="L50" t="s">
        <v>143</v>
      </c>
      <c r="M50" s="9">
        <v>0.2</v>
      </c>
      <c r="N50">
        <v>0</v>
      </c>
      <c r="O50" s="11">
        <v>0</v>
      </c>
      <c r="P50" s="8">
        <f t="shared" si="10"/>
        <v>9.7851811868634231E-2</v>
      </c>
      <c r="Q50" s="11">
        <f t="shared" si="11"/>
        <v>1986.267508667323</v>
      </c>
      <c r="R50" s="11">
        <f t="shared" si="12"/>
        <v>194.3598745788957</v>
      </c>
      <c r="S50" s="11">
        <f t="shared" si="13"/>
        <v>158.53365168460633</v>
      </c>
      <c r="T50" s="11">
        <f t="shared" si="14"/>
        <v>125.91424770367379</v>
      </c>
      <c r="U50" s="9">
        <f t="shared" si="15"/>
        <v>1</v>
      </c>
      <c r="V50" s="11">
        <f t="shared" si="16"/>
        <v>125.91424770367379</v>
      </c>
      <c r="W50" s="11">
        <v>125.91424770367379</v>
      </c>
      <c r="X50" s="9">
        <f t="shared" si="17"/>
        <v>0</v>
      </c>
      <c r="Y50" s="12">
        <f t="shared" si="18"/>
        <v>0</v>
      </c>
      <c r="Z50" t="str">
        <f t="shared" si="19"/>
        <v>PASS</v>
      </c>
    </row>
    <row r="51" spans="1:26">
      <c r="A51">
        <v>473656</v>
      </c>
      <c r="B51">
        <v>34</v>
      </c>
      <c r="C51">
        <v>9</v>
      </c>
      <c r="D51">
        <v>6</v>
      </c>
      <c r="E51" t="s">
        <v>89</v>
      </c>
      <c r="F51" t="s">
        <v>89</v>
      </c>
      <c r="G51" t="s">
        <v>92</v>
      </c>
      <c r="H51" t="s">
        <v>161</v>
      </c>
      <c r="I51" t="s">
        <v>165</v>
      </c>
      <c r="J51" t="s">
        <v>142</v>
      </c>
      <c r="K51" t="s">
        <v>116</v>
      </c>
      <c r="L51" t="s">
        <v>143</v>
      </c>
      <c r="M51" s="9">
        <v>0.08</v>
      </c>
      <c r="N51">
        <v>0</v>
      </c>
      <c r="O51" s="11">
        <v>0</v>
      </c>
      <c r="P51" s="8">
        <f t="shared" si="10"/>
        <v>9.7536495306480911E-2</v>
      </c>
      <c r="Q51" s="11">
        <f t="shared" si="11"/>
        <v>2009.7687967677475</v>
      </c>
      <c r="R51" s="11">
        <f t="shared" si="12"/>
        <v>196.02580481304921</v>
      </c>
      <c r="S51" s="11">
        <f t="shared" si="13"/>
        <v>159.89250213686333</v>
      </c>
      <c r="T51" s="11">
        <f t="shared" si="14"/>
        <v>129.79971150884131</v>
      </c>
      <c r="U51" s="9">
        <f t="shared" si="15"/>
        <v>1.1200000000000001</v>
      </c>
      <c r="V51" s="11">
        <f t="shared" si="16"/>
        <v>145.37567688990228</v>
      </c>
      <c r="W51" s="11">
        <v>145.37567688990231</v>
      </c>
      <c r="X51" s="9">
        <f t="shared" si="17"/>
        <v>0</v>
      </c>
      <c r="Y51" s="12">
        <f t="shared" si="18"/>
        <v>0</v>
      </c>
      <c r="Z51" t="str">
        <f t="shared" si="19"/>
        <v>PASS</v>
      </c>
    </row>
    <row r="52" spans="1:26">
      <c r="A52">
        <v>623445</v>
      </c>
      <c r="B52">
        <v>69</v>
      </c>
      <c r="C52">
        <v>0</v>
      </c>
      <c r="D52">
        <v>5</v>
      </c>
      <c r="E52" t="s">
        <v>144</v>
      </c>
      <c r="F52" t="s">
        <v>145</v>
      </c>
      <c r="G52" t="s">
        <v>93</v>
      </c>
      <c r="H52" t="s">
        <v>148</v>
      </c>
      <c r="I52" t="s">
        <v>141</v>
      </c>
      <c r="J52" t="s">
        <v>151</v>
      </c>
      <c r="K52" t="s">
        <v>115</v>
      </c>
      <c r="L52" t="s">
        <v>153</v>
      </c>
      <c r="M52" s="9">
        <v>0.06</v>
      </c>
      <c r="N52">
        <v>0</v>
      </c>
      <c r="O52" s="11">
        <v>0</v>
      </c>
      <c r="P52" s="8">
        <f t="shared" si="10"/>
        <v>0.14613350930364677</v>
      </c>
      <c r="Q52" s="11">
        <f t="shared" si="11"/>
        <v>2304.3986222668977</v>
      </c>
      <c r="R52" s="11">
        <f t="shared" si="12"/>
        <v>336.74985750635051</v>
      </c>
      <c r="S52" s="11">
        <f t="shared" si="13"/>
        <v>274.67698634000584</v>
      </c>
      <c r="T52" s="11">
        <f t="shared" si="14"/>
        <v>151.88072774905959</v>
      </c>
      <c r="U52" s="9">
        <f t="shared" si="15"/>
        <v>0.75</v>
      </c>
      <c r="V52" s="11">
        <f t="shared" si="16"/>
        <v>113.91054581179469</v>
      </c>
      <c r="W52" s="11">
        <v>113.91054581179471</v>
      </c>
      <c r="X52" s="9">
        <f t="shared" si="17"/>
        <v>0</v>
      </c>
      <c r="Y52" s="12">
        <f t="shared" si="18"/>
        <v>0</v>
      </c>
      <c r="Z52" t="str">
        <f t="shared" si="19"/>
        <v>PASS</v>
      </c>
    </row>
    <row r="53" spans="1:26">
      <c r="A53">
        <v>472082</v>
      </c>
      <c r="B53">
        <v>29</v>
      </c>
      <c r="C53">
        <v>7</v>
      </c>
      <c r="D53">
        <v>6</v>
      </c>
      <c r="E53" t="s">
        <v>144</v>
      </c>
      <c r="F53" t="s">
        <v>145</v>
      </c>
      <c r="G53" t="s">
        <v>92</v>
      </c>
      <c r="H53" t="s">
        <v>148</v>
      </c>
      <c r="I53" t="s">
        <v>165</v>
      </c>
      <c r="J53" t="s">
        <v>142</v>
      </c>
      <c r="K53" t="s">
        <v>116</v>
      </c>
      <c r="L53" t="s">
        <v>162</v>
      </c>
      <c r="M53" s="9">
        <v>0.08</v>
      </c>
      <c r="N53">
        <v>0</v>
      </c>
      <c r="O53" s="11">
        <v>0</v>
      </c>
      <c r="P53" s="8">
        <f t="shared" si="10"/>
        <v>0.11871128699400803</v>
      </c>
      <c r="Q53" s="11">
        <f t="shared" si="11"/>
        <v>2518.5723447551504</v>
      </c>
      <c r="R53" s="11">
        <f t="shared" si="12"/>
        <v>298.98296443340041</v>
      </c>
      <c r="S53" s="11">
        <f t="shared" si="13"/>
        <v>243.87163886481784</v>
      </c>
      <c r="T53" s="11">
        <f t="shared" si="14"/>
        <v>138.19156258510591</v>
      </c>
      <c r="U53" s="9">
        <f t="shared" si="15"/>
        <v>1.1200000000000001</v>
      </c>
      <c r="V53" s="11">
        <f t="shared" si="16"/>
        <v>154.77455009531863</v>
      </c>
      <c r="W53" s="11">
        <v>154.7745500953186</v>
      </c>
      <c r="X53" s="9">
        <f t="shared" si="17"/>
        <v>0</v>
      </c>
      <c r="Y53" s="12">
        <f t="shared" si="18"/>
        <v>0</v>
      </c>
      <c r="Z53" t="str">
        <f t="shared" si="19"/>
        <v>PASS</v>
      </c>
    </row>
    <row r="54" spans="1:26">
      <c r="A54">
        <v>402939</v>
      </c>
      <c r="B54">
        <v>32</v>
      </c>
      <c r="C54">
        <v>10</v>
      </c>
      <c r="D54">
        <v>7</v>
      </c>
      <c r="E54" t="s">
        <v>150</v>
      </c>
      <c r="F54" t="s">
        <v>150</v>
      </c>
      <c r="G54" t="s">
        <v>93</v>
      </c>
      <c r="H54" t="s">
        <v>152</v>
      </c>
      <c r="I54" t="s">
        <v>165</v>
      </c>
      <c r="J54" t="s">
        <v>149</v>
      </c>
      <c r="K54" t="s">
        <v>116</v>
      </c>
      <c r="L54" t="s">
        <v>143</v>
      </c>
      <c r="M54" s="9">
        <v>0.18</v>
      </c>
      <c r="N54">
        <v>0</v>
      </c>
      <c r="O54" s="11">
        <v>0</v>
      </c>
      <c r="P54" s="8">
        <f t="shared" si="10"/>
        <v>8.9485728043370794E-2</v>
      </c>
      <c r="Q54" s="11">
        <f t="shared" si="11"/>
        <v>2014.4330310368205</v>
      </c>
      <c r="R54" s="11">
        <f t="shared" si="12"/>
        <v>180.26300637694402</v>
      </c>
      <c r="S54" s="11">
        <f t="shared" si="13"/>
        <v>147.03524956732755</v>
      </c>
      <c r="T54" s="11">
        <f t="shared" si="14"/>
        <v>113.37839590964759</v>
      </c>
      <c r="U54" s="9">
        <f t="shared" si="15"/>
        <v>1.1200000000000001</v>
      </c>
      <c r="V54" s="11">
        <f t="shared" si="16"/>
        <v>126.98380341880532</v>
      </c>
      <c r="W54" s="11">
        <v>126.98380341880529</v>
      </c>
      <c r="X54" s="9">
        <f t="shared" si="17"/>
        <v>0</v>
      </c>
      <c r="Y54" s="12">
        <f t="shared" si="18"/>
        <v>0</v>
      </c>
      <c r="Z54" t="str">
        <f t="shared" si="19"/>
        <v>PASS</v>
      </c>
    </row>
    <row r="55" spans="1:26">
      <c r="A55">
        <v>522178</v>
      </c>
      <c r="B55">
        <v>50</v>
      </c>
      <c r="C55">
        <v>2</v>
      </c>
      <c r="D55">
        <v>5</v>
      </c>
      <c r="E55" t="s">
        <v>150</v>
      </c>
      <c r="F55" t="s">
        <v>150</v>
      </c>
      <c r="G55" t="s">
        <v>92</v>
      </c>
      <c r="H55" t="s">
        <v>148</v>
      </c>
      <c r="I55" t="s">
        <v>141</v>
      </c>
      <c r="J55" t="s">
        <v>151</v>
      </c>
      <c r="K55" t="s">
        <v>155</v>
      </c>
      <c r="L55" t="s">
        <v>147</v>
      </c>
      <c r="M55" s="9">
        <v>0.63</v>
      </c>
      <c r="N55">
        <v>0</v>
      </c>
      <c r="O55" s="11">
        <v>0</v>
      </c>
      <c r="P55" s="8">
        <f t="shared" si="10"/>
        <v>8.8855803932521016E-2</v>
      </c>
      <c r="Q55" s="11">
        <f t="shared" si="11"/>
        <v>1748.4826554925846</v>
      </c>
      <c r="R55" s="11">
        <f t="shared" si="12"/>
        <v>155.36283201586278</v>
      </c>
      <c r="S55" s="11">
        <f t="shared" si="13"/>
        <v>126.72490733440324</v>
      </c>
      <c r="T55" s="11">
        <f t="shared" si="14"/>
        <v>90.306491514870658</v>
      </c>
      <c r="U55" s="9">
        <f t="shared" si="15"/>
        <v>1</v>
      </c>
      <c r="V55" s="11">
        <f t="shared" si="16"/>
        <v>90.306491514870658</v>
      </c>
      <c r="W55" s="11">
        <v>90.306491514870658</v>
      </c>
      <c r="X55" s="9">
        <f t="shared" si="17"/>
        <v>0</v>
      </c>
      <c r="Y55" s="12">
        <f t="shared" si="18"/>
        <v>0</v>
      </c>
      <c r="Z55" t="str">
        <f t="shared" si="19"/>
        <v>PASS</v>
      </c>
    </row>
    <row r="56" spans="1:26">
      <c r="A56">
        <v>470606</v>
      </c>
      <c r="B56">
        <v>36</v>
      </c>
      <c r="C56">
        <v>16</v>
      </c>
      <c r="D56">
        <v>4</v>
      </c>
      <c r="E56" t="s">
        <v>89</v>
      </c>
      <c r="F56" t="s">
        <v>89</v>
      </c>
      <c r="G56" t="s">
        <v>93</v>
      </c>
      <c r="H56" t="s">
        <v>148</v>
      </c>
      <c r="I56" t="s">
        <v>165</v>
      </c>
      <c r="J56" t="s">
        <v>119</v>
      </c>
      <c r="K56" t="s">
        <v>104</v>
      </c>
      <c r="L56" t="s">
        <v>143</v>
      </c>
      <c r="M56" s="9">
        <v>0.08</v>
      </c>
      <c r="N56">
        <v>0</v>
      </c>
      <c r="O56" s="11">
        <v>0</v>
      </c>
      <c r="P56" s="8">
        <f t="shared" si="10"/>
        <v>8.6317076278307592E-2</v>
      </c>
      <c r="Q56" s="11">
        <f t="shared" si="11"/>
        <v>2231.7063342223469</v>
      </c>
      <c r="R56" s="11">
        <f t="shared" si="12"/>
        <v>192.63436588185252</v>
      </c>
      <c r="S56" s="11">
        <f t="shared" si="13"/>
        <v>157.12620482682004</v>
      </c>
      <c r="T56" s="11">
        <f t="shared" si="14"/>
        <v>119.7607940876163</v>
      </c>
      <c r="U56" s="9">
        <f t="shared" si="15"/>
        <v>0.9</v>
      </c>
      <c r="V56" s="11">
        <f t="shared" si="16"/>
        <v>107.78471467885467</v>
      </c>
      <c r="W56" s="11">
        <v>107.7847146788547</v>
      </c>
      <c r="X56" s="9">
        <f t="shared" si="17"/>
        <v>0</v>
      </c>
      <c r="Y56" s="12">
        <f t="shared" si="18"/>
        <v>0</v>
      </c>
      <c r="Z56" t="str">
        <f t="shared" si="19"/>
        <v>PASS</v>
      </c>
    </row>
    <row r="57" spans="1:26">
      <c r="A57">
        <v>375725</v>
      </c>
      <c r="B57">
        <v>41</v>
      </c>
      <c r="C57">
        <v>6</v>
      </c>
      <c r="D57">
        <v>9</v>
      </c>
      <c r="E57" t="s">
        <v>176</v>
      </c>
      <c r="F57" t="s">
        <v>145</v>
      </c>
      <c r="G57" t="s">
        <v>93</v>
      </c>
      <c r="H57" t="s">
        <v>140</v>
      </c>
      <c r="I57" t="s">
        <v>141</v>
      </c>
      <c r="J57" t="s">
        <v>118</v>
      </c>
      <c r="K57" t="s">
        <v>116</v>
      </c>
      <c r="L57" t="s">
        <v>147</v>
      </c>
      <c r="M57" s="9">
        <v>0.14000000000000001</v>
      </c>
      <c r="N57">
        <v>0</v>
      </c>
      <c r="O57" s="11">
        <v>0</v>
      </c>
      <c r="P57" s="8">
        <f t="shared" si="10"/>
        <v>0.10847026254951139</v>
      </c>
      <c r="Q57" s="11">
        <f t="shared" si="11"/>
        <v>1628.4093580069975</v>
      </c>
      <c r="R57" s="11">
        <f t="shared" si="12"/>
        <v>176.63399060110032</v>
      </c>
      <c r="S57" s="11">
        <f t="shared" si="13"/>
        <v>144.07516779009833</v>
      </c>
      <c r="T57" s="11">
        <f t="shared" si="14"/>
        <v>101.90231449399199</v>
      </c>
      <c r="U57" s="9">
        <f t="shared" si="15"/>
        <v>1.4560000000000002</v>
      </c>
      <c r="V57" s="11">
        <f t="shared" si="16"/>
        <v>148.36976990325238</v>
      </c>
      <c r="W57" s="11">
        <v>148.3697699032524</v>
      </c>
      <c r="X57" s="9">
        <f t="shared" si="17"/>
        <v>0</v>
      </c>
      <c r="Y57" s="12">
        <f t="shared" si="18"/>
        <v>0</v>
      </c>
      <c r="Z57" t="str">
        <f t="shared" si="19"/>
        <v>PASS</v>
      </c>
    </row>
    <row r="58" spans="1:26">
      <c r="A58">
        <v>618057</v>
      </c>
      <c r="B58">
        <v>44</v>
      </c>
      <c r="C58">
        <v>2</v>
      </c>
      <c r="D58">
        <v>7</v>
      </c>
      <c r="E58" t="s">
        <v>144</v>
      </c>
      <c r="F58" t="s">
        <v>145</v>
      </c>
      <c r="G58" t="s">
        <v>92</v>
      </c>
      <c r="H58" t="s">
        <v>170</v>
      </c>
      <c r="I58" t="s">
        <v>141</v>
      </c>
      <c r="J58" t="s">
        <v>149</v>
      </c>
      <c r="K58" t="s">
        <v>155</v>
      </c>
      <c r="L58" t="s">
        <v>147</v>
      </c>
      <c r="M58" s="9">
        <v>0.49</v>
      </c>
      <c r="N58">
        <v>0</v>
      </c>
      <c r="O58" s="11">
        <v>0</v>
      </c>
      <c r="P58" s="8">
        <f t="shared" si="10"/>
        <v>9.5028538316515254E-2</v>
      </c>
      <c r="Q58" s="11">
        <f t="shared" si="11"/>
        <v>1651.557698449383</v>
      </c>
      <c r="R58" s="11">
        <f t="shared" si="12"/>
        <v>156.94511402903294</v>
      </c>
      <c r="S58" s="11">
        <f t="shared" si="13"/>
        <v>128.01552838510221</v>
      </c>
      <c r="T58" s="11">
        <f t="shared" si="14"/>
        <v>90.306491514870658</v>
      </c>
      <c r="U58" s="9">
        <f t="shared" si="15"/>
        <v>1</v>
      </c>
      <c r="V58" s="11">
        <f t="shared" si="16"/>
        <v>90.306491514870658</v>
      </c>
      <c r="W58" s="11">
        <v>90.306491514870658</v>
      </c>
      <c r="X58" s="9">
        <f t="shared" si="17"/>
        <v>0</v>
      </c>
      <c r="Y58" s="12">
        <f t="shared" si="18"/>
        <v>0</v>
      </c>
      <c r="Z58" t="str">
        <f t="shared" si="19"/>
        <v>PASS</v>
      </c>
    </row>
    <row r="59" spans="1:26">
      <c r="A59">
        <v>429270</v>
      </c>
      <c r="B59">
        <v>40</v>
      </c>
      <c r="C59">
        <v>1</v>
      </c>
      <c r="D59">
        <v>7</v>
      </c>
      <c r="E59" t="s">
        <v>139</v>
      </c>
      <c r="F59" t="s">
        <v>139</v>
      </c>
      <c r="G59" t="s">
        <v>92</v>
      </c>
      <c r="H59" t="s">
        <v>95</v>
      </c>
      <c r="I59" t="s">
        <v>146</v>
      </c>
      <c r="J59" t="s">
        <v>149</v>
      </c>
      <c r="K59" t="s">
        <v>115</v>
      </c>
      <c r="L59" t="s">
        <v>143</v>
      </c>
      <c r="M59" s="9">
        <v>0.93</v>
      </c>
      <c r="N59">
        <v>0</v>
      </c>
      <c r="O59" s="11">
        <v>0</v>
      </c>
      <c r="P59" s="8">
        <f t="shared" si="10"/>
        <v>0.12928140093963866</v>
      </c>
      <c r="Q59" s="11">
        <f t="shared" si="11"/>
        <v>2003.2540767555406</v>
      </c>
      <c r="R59" s="11">
        <f t="shared" si="12"/>
        <v>258.98349348099873</v>
      </c>
      <c r="S59" s="11">
        <f t="shared" si="13"/>
        <v>211.24524306539837</v>
      </c>
      <c r="T59" s="11">
        <f t="shared" si="14"/>
        <v>138.19156258510591</v>
      </c>
      <c r="U59" s="9">
        <f t="shared" si="15"/>
        <v>0.75</v>
      </c>
      <c r="V59" s="11">
        <f t="shared" si="16"/>
        <v>103.64367193882944</v>
      </c>
      <c r="W59" s="11">
        <v>103.6436719388294</v>
      </c>
      <c r="X59" s="9">
        <f t="shared" si="17"/>
        <v>0</v>
      </c>
      <c r="Y59" s="12">
        <f t="shared" si="18"/>
        <v>0</v>
      </c>
      <c r="Z59" t="str">
        <f t="shared" si="19"/>
        <v>PASS</v>
      </c>
    </row>
    <row r="60" spans="1:26">
      <c r="A60">
        <v>157815</v>
      </c>
      <c r="B60">
        <v>59</v>
      </c>
      <c r="C60">
        <v>11</v>
      </c>
      <c r="D60">
        <v>4</v>
      </c>
      <c r="E60" t="s">
        <v>89</v>
      </c>
      <c r="F60" t="s">
        <v>89</v>
      </c>
      <c r="G60" t="s">
        <v>93</v>
      </c>
      <c r="H60" t="s">
        <v>161</v>
      </c>
      <c r="I60" t="s">
        <v>98</v>
      </c>
      <c r="J60" t="s">
        <v>119</v>
      </c>
      <c r="K60" t="s">
        <v>104</v>
      </c>
      <c r="L60" t="s">
        <v>156</v>
      </c>
      <c r="M60" s="9">
        <v>0.32</v>
      </c>
      <c r="N60">
        <v>0</v>
      </c>
      <c r="O60" s="11">
        <v>0</v>
      </c>
      <c r="P60" s="8">
        <f t="shared" si="10"/>
        <v>8.7983924873886094E-2</v>
      </c>
      <c r="Q60" s="11">
        <f t="shared" si="11"/>
        <v>1818.435201172271</v>
      </c>
      <c r="R60" s="11">
        <f t="shared" si="12"/>
        <v>159.99306612797105</v>
      </c>
      <c r="S60" s="11">
        <f t="shared" si="13"/>
        <v>130.50165355600663</v>
      </c>
      <c r="T60" s="11">
        <f t="shared" si="14"/>
        <v>95.006599640130716</v>
      </c>
      <c r="U60" s="9">
        <f t="shared" si="15"/>
        <v>0.9</v>
      </c>
      <c r="V60" s="11">
        <f t="shared" si="16"/>
        <v>85.505939676117649</v>
      </c>
      <c r="W60" s="11">
        <v>85.505939676117649</v>
      </c>
      <c r="X60" s="9">
        <f t="shared" si="17"/>
        <v>0</v>
      </c>
      <c r="Y60" s="12">
        <f t="shared" si="18"/>
        <v>0</v>
      </c>
      <c r="Z60" t="str">
        <f t="shared" si="19"/>
        <v>PASS</v>
      </c>
    </row>
    <row r="61" spans="1:26">
      <c r="A61">
        <v>327102</v>
      </c>
      <c r="B61">
        <v>36</v>
      </c>
      <c r="C61">
        <v>9</v>
      </c>
      <c r="D61">
        <v>8</v>
      </c>
      <c r="E61" t="s">
        <v>176</v>
      </c>
      <c r="F61" t="s">
        <v>145</v>
      </c>
      <c r="G61" t="s">
        <v>92</v>
      </c>
      <c r="H61" t="s">
        <v>177</v>
      </c>
      <c r="I61" t="s">
        <v>165</v>
      </c>
      <c r="J61" t="s">
        <v>166</v>
      </c>
      <c r="K61" t="s">
        <v>116</v>
      </c>
      <c r="L61" t="s">
        <v>143</v>
      </c>
      <c r="M61" s="9">
        <v>0.5</v>
      </c>
      <c r="N61">
        <v>0</v>
      </c>
      <c r="O61" s="11">
        <v>0</v>
      </c>
      <c r="P61" s="8">
        <f t="shared" si="10"/>
        <v>9.3455162600333819E-2</v>
      </c>
      <c r="Q61" s="11">
        <f t="shared" si="11"/>
        <v>1939.8984549058086</v>
      </c>
      <c r="R61" s="11">
        <f t="shared" si="12"/>
        <v>181.29352553135868</v>
      </c>
      <c r="S61" s="11">
        <f t="shared" si="13"/>
        <v>147.87581383006057</v>
      </c>
      <c r="T61" s="11">
        <f t="shared" si="14"/>
        <v>113.37839590964759</v>
      </c>
      <c r="U61" s="9">
        <f t="shared" si="15"/>
        <v>1.1200000000000001</v>
      </c>
      <c r="V61" s="11">
        <f t="shared" si="16"/>
        <v>126.98380341880532</v>
      </c>
      <c r="W61" s="11">
        <v>126.98380341880529</v>
      </c>
      <c r="X61" s="9">
        <f t="shared" si="17"/>
        <v>0</v>
      </c>
      <c r="Y61" s="12">
        <f t="shared" si="18"/>
        <v>0</v>
      </c>
      <c r="Z61" t="str">
        <f t="shared" si="19"/>
        <v>PASS</v>
      </c>
    </row>
    <row r="62" spans="1:26">
      <c r="A62">
        <v>520597</v>
      </c>
      <c r="B62">
        <v>57</v>
      </c>
      <c r="C62">
        <v>5</v>
      </c>
      <c r="D62">
        <v>4</v>
      </c>
      <c r="E62" t="s">
        <v>144</v>
      </c>
      <c r="F62" t="s">
        <v>145</v>
      </c>
      <c r="G62" t="s">
        <v>93</v>
      </c>
      <c r="H62" t="s">
        <v>161</v>
      </c>
      <c r="I62" t="s">
        <v>165</v>
      </c>
      <c r="J62" t="s">
        <v>119</v>
      </c>
      <c r="K62" t="s">
        <v>116</v>
      </c>
      <c r="L62" t="s">
        <v>156</v>
      </c>
      <c r="M62" s="9">
        <v>0.87</v>
      </c>
      <c r="N62">
        <v>0</v>
      </c>
      <c r="O62" s="11">
        <v>0</v>
      </c>
      <c r="P62" s="8">
        <f t="shared" si="10"/>
        <v>0.10944319014864837</v>
      </c>
      <c r="Q62" s="11">
        <f t="shared" si="11"/>
        <v>2014.824031679186</v>
      </c>
      <c r="R62" s="11">
        <f t="shared" si="12"/>
        <v>220.50876961513148</v>
      </c>
      <c r="S62" s="11">
        <f t="shared" si="13"/>
        <v>179.86253876376102</v>
      </c>
      <c r="T62" s="11">
        <f t="shared" si="14"/>
        <v>138.19156258510591</v>
      </c>
      <c r="U62" s="9">
        <f t="shared" si="15"/>
        <v>1.0080000000000002</v>
      </c>
      <c r="V62" s="11">
        <f t="shared" si="16"/>
        <v>139.29709508578679</v>
      </c>
      <c r="W62" s="11">
        <v>139.29709508578671</v>
      </c>
      <c r="X62" s="9">
        <f t="shared" si="17"/>
        <v>0</v>
      </c>
      <c r="Y62" s="12">
        <f t="shared" si="18"/>
        <v>0</v>
      </c>
      <c r="Z62" t="str">
        <f t="shared" si="19"/>
        <v>PASS</v>
      </c>
    </row>
    <row r="63" spans="1:26">
      <c r="A63">
        <v>478355</v>
      </c>
      <c r="B63">
        <v>35</v>
      </c>
      <c r="C63">
        <v>3</v>
      </c>
      <c r="D63">
        <v>6</v>
      </c>
      <c r="E63" t="s">
        <v>163</v>
      </c>
      <c r="F63" t="s">
        <v>145</v>
      </c>
      <c r="G63" t="s">
        <v>92</v>
      </c>
      <c r="H63" t="s">
        <v>140</v>
      </c>
      <c r="I63" t="s">
        <v>146</v>
      </c>
      <c r="J63" t="s">
        <v>142</v>
      </c>
      <c r="K63" t="s">
        <v>155</v>
      </c>
      <c r="L63" t="s">
        <v>143</v>
      </c>
      <c r="M63" s="9">
        <v>7.0000000000000007E-2</v>
      </c>
      <c r="N63">
        <v>0</v>
      </c>
      <c r="O63" s="11">
        <v>0</v>
      </c>
      <c r="P63" s="8">
        <f t="shared" si="10"/>
        <v>0.10277141338194512</v>
      </c>
      <c r="Q63" s="11">
        <f t="shared" si="11"/>
        <v>2433.0786850080317</v>
      </c>
      <c r="R63" s="11">
        <f t="shared" si="12"/>
        <v>250.05093532775987</v>
      </c>
      <c r="S63" s="11">
        <f t="shared" si="13"/>
        <v>203.95921725381439</v>
      </c>
      <c r="T63" s="11">
        <f t="shared" si="14"/>
        <v>138.19156258510591</v>
      </c>
      <c r="U63" s="9">
        <f t="shared" si="15"/>
        <v>1</v>
      </c>
      <c r="V63" s="11">
        <f t="shared" si="16"/>
        <v>138.19156258510591</v>
      </c>
      <c r="W63" s="11">
        <v>138.19156258510591</v>
      </c>
      <c r="X63" s="9">
        <f t="shared" si="17"/>
        <v>0</v>
      </c>
      <c r="Y63" s="12">
        <f t="shared" si="18"/>
        <v>0</v>
      </c>
      <c r="Z63" t="str">
        <f t="shared" si="19"/>
        <v>PASS</v>
      </c>
    </row>
    <row r="64" spans="1:26">
      <c r="A64">
        <v>163268</v>
      </c>
      <c r="B64">
        <v>35</v>
      </c>
      <c r="C64">
        <v>18</v>
      </c>
      <c r="D64">
        <v>6</v>
      </c>
      <c r="E64" t="s">
        <v>150</v>
      </c>
      <c r="F64" t="s">
        <v>150</v>
      </c>
      <c r="G64" t="s">
        <v>92</v>
      </c>
      <c r="H64" t="s">
        <v>140</v>
      </c>
      <c r="I64" t="s">
        <v>98</v>
      </c>
      <c r="J64" t="s">
        <v>142</v>
      </c>
      <c r="K64" t="s">
        <v>104</v>
      </c>
      <c r="L64" t="s">
        <v>143</v>
      </c>
      <c r="M64" s="9">
        <v>0.14000000000000001</v>
      </c>
      <c r="N64">
        <v>0</v>
      </c>
      <c r="O64" s="11">
        <v>0</v>
      </c>
      <c r="P64" s="8">
        <f t="shared" si="10"/>
        <v>7.8785786393514287E-2</v>
      </c>
      <c r="Q64" s="11">
        <f t="shared" si="11"/>
        <v>2162.1798658898711</v>
      </c>
      <c r="R64" s="11">
        <f t="shared" si="12"/>
        <v>170.34904105835676</v>
      </c>
      <c r="S64" s="11">
        <f t="shared" si="13"/>
        <v>138.9487187026856</v>
      </c>
      <c r="T64" s="11">
        <f t="shared" si="14"/>
        <v>101.2887844087093</v>
      </c>
      <c r="U64" s="9">
        <f t="shared" si="15"/>
        <v>1</v>
      </c>
      <c r="V64" s="11">
        <f t="shared" si="16"/>
        <v>101.2887844087093</v>
      </c>
      <c r="W64" s="11">
        <v>101.2887844087093</v>
      </c>
      <c r="X64" s="9">
        <f t="shared" si="17"/>
        <v>0</v>
      </c>
      <c r="Y64" s="12">
        <f t="shared" si="18"/>
        <v>0</v>
      </c>
      <c r="Z64" t="str">
        <f t="shared" si="19"/>
        <v>PASS</v>
      </c>
    </row>
    <row r="65" spans="1:26">
      <c r="A65">
        <v>558933</v>
      </c>
      <c r="B65">
        <v>23</v>
      </c>
      <c r="C65">
        <v>15</v>
      </c>
      <c r="D65">
        <v>7</v>
      </c>
      <c r="E65" t="s">
        <v>150</v>
      </c>
      <c r="F65" t="s">
        <v>150</v>
      </c>
      <c r="G65" t="s">
        <v>93</v>
      </c>
      <c r="H65" t="s">
        <v>175</v>
      </c>
      <c r="I65" t="s">
        <v>146</v>
      </c>
      <c r="J65" t="s">
        <v>149</v>
      </c>
      <c r="K65" t="s">
        <v>104</v>
      </c>
      <c r="L65" t="s">
        <v>114</v>
      </c>
      <c r="M65" s="9">
        <v>0.55000000000000004</v>
      </c>
      <c r="N65">
        <v>0</v>
      </c>
      <c r="O65" s="11">
        <v>0</v>
      </c>
      <c r="P65" s="8">
        <f t="shared" si="10"/>
        <v>0.11251818968788138</v>
      </c>
      <c r="Q65" s="11">
        <f t="shared" si="11"/>
        <v>1663.1548402971437</v>
      </c>
      <c r="R65" s="11">
        <f t="shared" si="12"/>
        <v>187.13517180087209</v>
      </c>
      <c r="S65" s="11">
        <f t="shared" si="13"/>
        <v>152.64067343373247</v>
      </c>
      <c r="T65" s="11">
        <f t="shared" si="14"/>
        <v>114.2609258561382</v>
      </c>
      <c r="U65" s="9">
        <f t="shared" si="15"/>
        <v>1.4</v>
      </c>
      <c r="V65" s="11">
        <f t="shared" si="16"/>
        <v>159.96529619859348</v>
      </c>
      <c r="W65" s="11">
        <v>159.96529619859339</v>
      </c>
      <c r="X65" s="9">
        <f t="shared" si="17"/>
        <v>0</v>
      </c>
      <c r="Y65" s="12">
        <f t="shared" si="18"/>
        <v>0</v>
      </c>
      <c r="Z65" t="str">
        <f t="shared" si="19"/>
        <v>PASS</v>
      </c>
    </row>
    <row r="66" spans="1:26">
      <c r="A66">
        <v>128255</v>
      </c>
      <c r="B66">
        <v>50</v>
      </c>
      <c r="C66">
        <v>12</v>
      </c>
      <c r="D66">
        <v>10</v>
      </c>
      <c r="E66" t="s">
        <v>158</v>
      </c>
      <c r="F66" t="s">
        <v>158</v>
      </c>
      <c r="G66" t="s">
        <v>92</v>
      </c>
      <c r="H66" t="s">
        <v>140</v>
      </c>
      <c r="I66" t="s">
        <v>98</v>
      </c>
      <c r="J66" t="s">
        <v>101</v>
      </c>
      <c r="K66" t="s">
        <v>104</v>
      </c>
      <c r="L66" t="s">
        <v>147</v>
      </c>
      <c r="M66" s="9">
        <v>1</v>
      </c>
      <c r="N66">
        <v>0</v>
      </c>
      <c r="O66" s="11">
        <v>0</v>
      </c>
      <c r="P66" s="8">
        <f t="shared" ref="P66:P101" si="20">EXP(FreqIntercept + IFERROR(VLOOKUP("VehBrand_Bin_"&amp;F66, FreqCoefs, 2, FALSE), 0) + IFERROR(VLOOKUP("VehGas_"&amp;G66, FreqCoefs, 2, FALSE), 0) + IFERROR(VLOOKUP("Region_"&amp;H66, FreqCoefs, 2, FALSE), 0) + IFERROR(VLOOKUP("Area_"&amp;I66, FreqCoefs, 2, FALSE), 0) + IFERROR(VLOOKUP("VehPower_Bin_"&amp;J66, FreqCoefs, 2, FALSE), 0) + IFERROR(VLOOKUP("VehAge_Bin_"&amp;K66, FreqCoefs, 2, FALSE), 0) + IFERROR(VLOOKUP("DriverAge_Bin_"&amp;L66, FreqCoefs, 2, FALSE), 0))</f>
        <v>8.8798568013870524E-2</v>
      </c>
      <c r="Q66" s="11">
        <f t="shared" ref="Q66:Q101" si="21">EXP(SevIntercept + IFERROR(VLOOKUP("VehBrand_Bin_"&amp;F66, SevCoefs, 2, FALSE), 0) + IFERROR(VLOOKUP("VehGas_"&amp;G66, SevCoefs, 2, FALSE), 0) + IFERROR(VLOOKUP("Region_"&amp;H66, SevCoefs, 2, FALSE), 0) + IFERROR(VLOOKUP("Area_"&amp;I66, SevCoefs, 2, FALSE), 0) + IFERROR(VLOOKUP("VehPower_Bin_"&amp;J66, SevCoefs, 2, FALSE), 0) + IFERROR(VLOOKUP("VehAge_Bin_"&amp;K66, SevCoefs, 2, FALSE), 0) + IFERROR(VLOOKUP("DriverAge_Bin_"&amp;L66, SevCoefs, 2, FALSE), 0))</f>
        <v>1772.9402187754645</v>
      </c>
      <c r="R66" s="11">
        <f t="shared" ref="R66:R97" si="22">P66*Q66</f>
        <v>157.43455260145956</v>
      </c>
      <c r="S66" s="11">
        <f t="shared" ref="S66:S97" si="23">R66*OffBalance</f>
        <v>128.4147490798583</v>
      </c>
      <c r="T66" s="11">
        <f t="shared" ref="T66:T97" si="24">IF(S66&lt;=MIN(KnotsX),INDEX(KnotsY,1),IF(S66&gt;=MAX(KnotsX),INDEX(KnotsY,COUNT(KnotsX)),INDEX(KnotsY,MATCH(S66,KnotsX,1))+(S66-INDEX(KnotsX,MATCH(S66,KnotsX,1)))*(INDEX(KnotsY,MATCH(S66,KnotsX,1)+1)-INDEX(KnotsY,MATCH(S66,KnotsX,1)))/(INDEX(KnotsX,MATCH(S66,KnotsX,1)+1)-INDEX(KnotsX,MATCH(S66,KnotsX,1)))))</f>
        <v>91.222283677244803</v>
      </c>
      <c r="U66" s="9">
        <f t="shared" ref="U66:U101" si="25">IFERROR(INDEX(LoadingsMult, MATCH("DriverAge_Bin|"&amp;L66, LoadingsKeys, 0)), 1) * IFERROR(INDEX(LoadingsMult, MATCH("VehAge_Bin|"&amp;K66, LoadingsKeys, 0)), 1) * IFERROR(INDEX(LoadingsMult, MATCH("VehPower_Bin|"&amp;J66, LoadingsKeys, 0)), 1)</f>
        <v>1</v>
      </c>
      <c r="V66" s="11">
        <f t="shared" ref="V66:V97" si="26">T66*U66</f>
        <v>91.222283677244803</v>
      </c>
      <c r="W66" s="11">
        <v>91.222283677244803</v>
      </c>
      <c r="X66" s="9">
        <f t="shared" ref="X66:X97" si="27">V66-W66</f>
        <v>0</v>
      </c>
      <c r="Y66" s="12">
        <f t="shared" ref="Y66:Y97" si="28">IFERROR(X66/W66,0)</f>
        <v>0</v>
      </c>
      <c r="Z66" t="str">
        <f t="shared" ref="Z66:Z97" si="29">IF(ABS(Y66)&lt;0.0001,"PASS","FAIL")</f>
        <v>PASS</v>
      </c>
    </row>
    <row r="67" spans="1:26">
      <c r="A67">
        <v>459170</v>
      </c>
      <c r="B67">
        <v>45</v>
      </c>
      <c r="C67">
        <v>15</v>
      </c>
      <c r="D67">
        <v>4</v>
      </c>
      <c r="E67" t="s">
        <v>89</v>
      </c>
      <c r="F67" t="s">
        <v>89</v>
      </c>
      <c r="G67" t="s">
        <v>93</v>
      </c>
      <c r="H67" t="s">
        <v>140</v>
      </c>
      <c r="I67" t="s">
        <v>141</v>
      </c>
      <c r="J67" t="s">
        <v>119</v>
      </c>
      <c r="K67" t="s">
        <v>104</v>
      </c>
      <c r="L67" t="s">
        <v>147</v>
      </c>
      <c r="M67" s="9">
        <v>0.74</v>
      </c>
      <c r="N67">
        <v>0</v>
      </c>
      <c r="O67" s="11">
        <v>0</v>
      </c>
      <c r="P67" s="8">
        <f t="shared" si="20"/>
        <v>8.4715009983141076E-2</v>
      </c>
      <c r="Q67" s="11">
        <f t="shared" si="21"/>
        <v>1669.7521614070979</v>
      </c>
      <c r="R67" s="11">
        <f t="shared" si="22"/>
        <v>141.45307102297369</v>
      </c>
      <c r="S67" s="11">
        <f t="shared" si="23"/>
        <v>115.37912308217237</v>
      </c>
      <c r="T67" s="11">
        <f t="shared" si="24"/>
        <v>86.250349874331064</v>
      </c>
      <c r="U67" s="9">
        <f t="shared" si="25"/>
        <v>0.9</v>
      </c>
      <c r="V67" s="11">
        <f t="shared" si="26"/>
        <v>77.625314886897954</v>
      </c>
      <c r="W67" s="11">
        <v>77.625314886897954</v>
      </c>
      <c r="X67" s="9">
        <f t="shared" si="27"/>
        <v>0</v>
      </c>
      <c r="Y67" s="12">
        <f t="shared" si="28"/>
        <v>0</v>
      </c>
      <c r="Z67" t="str">
        <f t="shared" si="29"/>
        <v>PASS</v>
      </c>
    </row>
    <row r="68" spans="1:26">
      <c r="A68">
        <v>180736</v>
      </c>
      <c r="B68">
        <v>51</v>
      </c>
      <c r="C68">
        <v>11</v>
      </c>
      <c r="D68">
        <v>11</v>
      </c>
      <c r="E68" t="s">
        <v>89</v>
      </c>
      <c r="F68" t="s">
        <v>89</v>
      </c>
      <c r="G68" t="s">
        <v>92</v>
      </c>
      <c r="H68" t="s">
        <v>177</v>
      </c>
      <c r="I68" t="s">
        <v>141</v>
      </c>
      <c r="J68" t="s">
        <v>101</v>
      </c>
      <c r="K68" t="s">
        <v>104</v>
      </c>
      <c r="L68" t="s">
        <v>156</v>
      </c>
      <c r="M68" s="9">
        <v>0.95</v>
      </c>
      <c r="N68">
        <v>0</v>
      </c>
      <c r="O68" s="11">
        <v>0</v>
      </c>
      <c r="P68" s="8">
        <f t="shared" si="20"/>
        <v>8.3708740522591168E-2</v>
      </c>
      <c r="Q68" s="11">
        <f t="shared" si="21"/>
        <v>1804.2453247810538</v>
      </c>
      <c r="R68" s="11">
        <f t="shared" si="22"/>
        <v>151.03110373119546</v>
      </c>
      <c r="S68" s="11">
        <f t="shared" si="23"/>
        <v>123.19164356500805</v>
      </c>
      <c r="T68" s="11">
        <f t="shared" si="24"/>
        <v>87.885417724906972</v>
      </c>
      <c r="U68" s="9">
        <f t="shared" si="25"/>
        <v>1</v>
      </c>
      <c r="V68" s="11">
        <f t="shared" si="26"/>
        <v>87.885417724906972</v>
      </c>
      <c r="W68" s="11">
        <v>87.885417724906972</v>
      </c>
      <c r="X68" s="9">
        <f t="shared" si="27"/>
        <v>0</v>
      </c>
      <c r="Y68" s="12">
        <f t="shared" si="28"/>
        <v>0</v>
      </c>
      <c r="Z68" t="str">
        <f t="shared" si="29"/>
        <v>PASS</v>
      </c>
    </row>
    <row r="69" spans="1:26">
      <c r="A69">
        <v>443626</v>
      </c>
      <c r="B69">
        <v>41</v>
      </c>
      <c r="C69">
        <v>0</v>
      </c>
      <c r="D69">
        <v>8</v>
      </c>
      <c r="E69" t="s">
        <v>144</v>
      </c>
      <c r="F69" t="s">
        <v>145</v>
      </c>
      <c r="G69" t="s">
        <v>92</v>
      </c>
      <c r="H69" t="s">
        <v>154</v>
      </c>
      <c r="I69" t="s">
        <v>141</v>
      </c>
      <c r="J69" t="s">
        <v>166</v>
      </c>
      <c r="K69" t="s">
        <v>115</v>
      </c>
      <c r="L69" t="s">
        <v>147</v>
      </c>
      <c r="M69" s="9">
        <v>0.7</v>
      </c>
      <c r="N69">
        <v>0</v>
      </c>
      <c r="O69" s="11">
        <v>0</v>
      </c>
      <c r="P69" s="8">
        <f t="shared" si="20"/>
        <v>0.12740807350663397</v>
      </c>
      <c r="Q69" s="11">
        <f t="shared" si="21"/>
        <v>1475.500024013166</v>
      </c>
      <c r="R69" s="11">
        <f t="shared" si="22"/>
        <v>187.99061551850963</v>
      </c>
      <c r="S69" s="11">
        <f t="shared" si="23"/>
        <v>153.33843379533778</v>
      </c>
      <c r="T69" s="11">
        <f t="shared" si="24"/>
        <v>114.2609258561382</v>
      </c>
      <c r="U69" s="9">
        <f t="shared" si="25"/>
        <v>0.75</v>
      </c>
      <c r="V69" s="11">
        <f t="shared" si="26"/>
        <v>85.695694392103647</v>
      </c>
      <c r="W69" s="11">
        <v>85.695694392103618</v>
      </c>
      <c r="X69" s="9">
        <f t="shared" si="27"/>
        <v>0</v>
      </c>
      <c r="Y69" s="12">
        <f t="shared" si="28"/>
        <v>0</v>
      </c>
      <c r="Z69" t="str">
        <f t="shared" si="29"/>
        <v>PASS</v>
      </c>
    </row>
    <row r="70" spans="1:26">
      <c r="A70">
        <v>350337</v>
      </c>
      <c r="B70">
        <v>28</v>
      </c>
      <c r="C70">
        <v>2</v>
      </c>
      <c r="D70">
        <v>5</v>
      </c>
      <c r="E70" t="s">
        <v>150</v>
      </c>
      <c r="F70" t="s">
        <v>150</v>
      </c>
      <c r="G70" t="s">
        <v>92</v>
      </c>
      <c r="H70" t="s">
        <v>177</v>
      </c>
      <c r="I70" t="s">
        <v>98</v>
      </c>
      <c r="J70" t="s">
        <v>151</v>
      </c>
      <c r="K70" t="s">
        <v>155</v>
      </c>
      <c r="L70" t="s">
        <v>162</v>
      </c>
      <c r="M70" s="9">
        <v>0.08</v>
      </c>
      <c r="N70">
        <v>0</v>
      </c>
      <c r="O70" s="11">
        <v>0</v>
      </c>
      <c r="P70" s="8">
        <f t="shared" si="20"/>
        <v>9.0968509753803606E-2</v>
      </c>
      <c r="Q70" s="11">
        <f t="shared" si="21"/>
        <v>1815.9266168844208</v>
      </c>
      <c r="R70" s="11">
        <f t="shared" si="22"/>
        <v>165.19213816024202</v>
      </c>
      <c r="S70" s="11">
        <f t="shared" si="23"/>
        <v>134.74238419257972</v>
      </c>
      <c r="T70" s="11">
        <f t="shared" si="24"/>
        <v>101.2887844087093</v>
      </c>
      <c r="U70" s="9">
        <f t="shared" si="25"/>
        <v>1</v>
      </c>
      <c r="V70" s="11">
        <f t="shared" si="26"/>
        <v>101.2887844087093</v>
      </c>
      <c r="W70" s="11">
        <v>101.2887844087093</v>
      </c>
      <c r="X70" s="9">
        <f t="shared" si="27"/>
        <v>0</v>
      </c>
      <c r="Y70" s="12">
        <f t="shared" si="28"/>
        <v>0</v>
      </c>
      <c r="Z70" t="str">
        <f t="shared" si="29"/>
        <v>PASS</v>
      </c>
    </row>
    <row r="71" spans="1:26">
      <c r="A71">
        <v>2849</v>
      </c>
      <c r="B71">
        <v>41</v>
      </c>
      <c r="C71">
        <v>0</v>
      </c>
      <c r="D71">
        <v>10</v>
      </c>
      <c r="E71" t="s">
        <v>144</v>
      </c>
      <c r="F71" t="s">
        <v>145</v>
      </c>
      <c r="G71" t="s">
        <v>93</v>
      </c>
      <c r="H71" t="s">
        <v>168</v>
      </c>
      <c r="I71" t="s">
        <v>98</v>
      </c>
      <c r="J71" t="s">
        <v>101</v>
      </c>
      <c r="K71" t="s">
        <v>115</v>
      </c>
      <c r="L71" t="s">
        <v>147</v>
      </c>
      <c r="M71" s="9">
        <v>0.05</v>
      </c>
      <c r="N71">
        <v>1</v>
      </c>
      <c r="O71" s="11">
        <v>0</v>
      </c>
      <c r="P71" s="8">
        <f t="shared" si="20"/>
        <v>0.15244828653539838</v>
      </c>
      <c r="Q71" s="11">
        <f t="shared" si="21"/>
        <v>2160.8469757756411</v>
      </c>
      <c r="R71" s="11">
        <f t="shared" si="22"/>
        <v>329.41741892219397</v>
      </c>
      <c r="S71" s="11">
        <f t="shared" si="23"/>
        <v>268.69613115053835</v>
      </c>
      <c r="T71" s="11">
        <f t="shared" si="24"/>
        <v>151.88072774905959</v>
      </c>
      <c r="U71" s="9">
        <f t="shared" si="25"/>
        <v>0.75</v>
      </c>
      <c r="V71" s="11">
        <f t="shared" si="26"/>
        <v>113.91054581179469</v>
      </c>
      <c r="W71" s="11">
        <v>113.91054581179471</v>
      </c>
      <c r="X71" s="9">
        <f t="shared" si="27"/>
        <v>0</v>
      </c>
      <c r="Y71" s="12">
        <f t="shared" si="28"/>
        <v>0</v>
      </c>
      <c r="Z71" t="str">
        <f t="shared" si="29"/>
        <v>PASS</v>
      </c>
    </row>
    <row r="72" spans="1:26">
      <c r="A72">
        <v>105629</v>
      </c>
      <c r="B72">
        <v>70</v>
      </c>
      <c r="C72">
        <v>3</v>
      </c>
      <c r="D72">
        <v>4</v>
      </c>
      <c r="E72" t="s">
        <v>89</v>
      </c>
      <c r="F72" t="s">
        <v>89</v>
      </c>
      <c r="G72" t="s">
        <v>93</v>
      </c>
      <c r="H72" t="s">
        <v>173</v>
      </c>
      <c r="I72" t="s">
        <v>98</v>
      </c>
      <c r="J72" t="s">
        <v>119</v>
      </c>
      <c r="K72" t="s">
        <v>155</v>
      </c>
      <c r="L72" t="s">
        <v>153</v>
      </c>
      <c r="M72" s="9">
        <v>1</v>
      </c>
      <c r="N72">
        <v>0</v>
      </c>
      <c r="O72" s="11">
        <v>0</v>
      </c>
      <c r="P72" s="8">
        <f t="shared" si="20"/>
        <v>8.2850552945353997E-2</v>
      </c>
      <c r="Q72" s="11">
        <f t="shared" si="21"/>
        <v>2118.6447150808972</v>
      </c>
      <c r="R72" s="11">
        <f t="shared" si="22"/>
        <v>175.53088613920431</v>
      </c>
      <c r="S72" s="11">
        <f t="shared" si="23"/>
        <v>143.17539782002166</v>
      </c>
      <c r="T72" s="11">
        <f t="shared" si="24"/>
        <v>101.90231449399199</v>
      </c>
      <c r="U72" s="9">
        <f t="shared" si="25"/>
        <v>0.9</v>
      </c>
      <c r="V72" s="11">
        <f t="shared" si="26"/>
        <v>91.712083044592802</v>
      </c>
      <c r="W72" s="11">
        <v>91.712083044592816</v>
      </c>
      <c r="X72" s="9">
        <f t="shared" si="27"/>
        <v>0</v>
      </c>
      <c r="Y72" s="12">
        <f t="shared" si="28"/>
        <v>0</v>
      </c>
      <c r="Z72" t="str">
        <f t="shared" si="29"/>
        <v>PASS</v>
      </c>
    </row>
    <row r="73" spans="1:26">
      <c r="A73">
        <v>172971</v>
      </c>
      <c r="B73">
        <v>50</v>
      </c>
      <c r="C73">
        <v>14</v>
      </c>
      <c r="D73">
        <v>7</v>
      </c>
      <c r="E73" t="s">
        <v>89</v>
      </c>
      <c r="F73" t="s">
        <v>89</v>
      </c>
      <c r="G73" t="s">
        <v>93</v>
      </c>
      <c r="H73" t="s">
        <v>161</v>
      </c>
      <c r="I73" t="s">
        <v>165</v>
      </c>
      <c r="J73" t="s">
        <v>149</v>
      </c>
      <c r="K73" t="s">
        <v>104</v>
      </c>
      <c r="L73" t="s">
        <v>147</v>
      </c>
      <c r="M73" s="9">
        <v>1</v>
      </c>
      <c r="N73">
        <v>0</v>
      </c>
      <c r="O73" s="11">
        <v>0</v>
      </c>
      <c r="P73" s="8">
        <f t="shared" si="20"/>
        <v>0.10328751486904389</v>
      </c>
      <c r="Q73" s="11">
        <f t="shared" si="21"/>
        <v>1748.6446977577034</v>
      </c>
      <c r="R73" s="11">
        <f t="shared" si="22"/>
        <v>180.61316522032354</v>
      </c>
      <c r="S73" s="11">
        <f t="shared" si="23"/>
        <v>147.32086387033576</v>
      </c>
      <c r="T73" s="11">
        <f t="shared" si="24"/>
        <v>113.37839590964759</v>
      </c>
      <c r="U73" s="9">
        <f t="shared" si="25"/>
        <v>1</v>
      </c>
      <c r="V73" s="11">
        <f t="shared" si="26"/>
        <v>113.37839590964759</v>
      </c>
      <c r="W73" s="11">
        <v>113.37839590964759</v>
      </c>
      <c r="X73" s="9">
        <f t="shared" si="27"/>
        <v>0</v>
      </c>
      <c r="Y73" s="12">
        <f t="shared" si="28"/>
        <v>0</v>
      </c>
      <c r="Z73" t="str">
        <f t="shared" si="29"/>
        <v>PASS</v>
      </c>
    </row>
    <row r="74" spans="1:26">
      <c r="A74">
        <v>23924</v>
      </c>
      <c r="B74">
        <v>44</v>
      </c>
      <c r="C74">
        <v>0</v>
      </c>
      <c r="D74">
        <v>4</v>
      </c>
      <c r="E74" t="s">
        <v>144</v>
      </c>
      <c r="F74" t="s">
        <v>145</v>
      </c>
      <c r="G74" t="s">
        <v>93</v>
      </c>
      <c r="H74" t="s">
        <v>140</v>
      </c>
      <c r="I74" t="s">
        <v>98</v>
      </c>
      <c r="J74" t="s">
        <v>119</v>
      </c>
      <c r="K74" t="s">
        <v>115</v>
      </c>
      <c r="L74" t="s">
        <v>147</v>
      </c>
      <c r="M74" s="9">
        <v>0.02</v>
      </c>
      <c r="N74">
        <v>0</v>
      </c>
      <c r="O74" s="11">
        <v>0</v>
      </c>
      <c r="P74" s="8">
        <f t="shared" si="20"/>
        <v>0.13797684342544275</v>
      </c>
      <c r="Q74" s="11">
        <f t="shared" si="21"/>
        <v>2104.9799704766883</v>
      </c>
      <c r="R74" s="11">
        <f t="shared" si="22"/>
        <v>290.43849180015513</v>
      </c>
      <c r="S74" s="11">
        <f t="shared" si="23"/>
        <v>236.90216303446741</v>
      </c>
      <c r="T74" s="11">
        <f t="shared" si="24"/>
        <v>138.19156258510591</v>
      </c>
      <c r="U74" s="9">
        <f t="shared" si="25"/>
        <v>0.67500000000000004</v>
      </c>
      <c r="V74" s="11">
        <f t="shared" si="26"/>
        <v>93.279304744946501</v>
      </c>
      <c r="W74" s="11">
        <v>93.279304744946444</v>
      </c>
      <c r="X74" s="9">
        <f t="shared" si="27"/>
        <v>0</v>
      </c>
      <c r="Y74" s="12">
        <f t="shared" si="28"/>
        <v>0</v>
      </c>
      <c r="Z74" t="str">
        <f t="shared" si="29"/>
        <v>PASS</v>
      </c>
    </row>
    <row r="75" spans="1:26">
      <c r="A75">
        <v>29919</v>
      </c>
      <c r="B75">
        <v>44</v>
      </c>
      <c r="C75">
        <v>1</v>
      </c>
      <c r="D75">
        <v>4</v>
      </c>
      <c r="E75" t="s">
        <v>164</v>
      </c>
      <c r="F75" t="s">
        <v>145</v>
      </c>
      <c r="G75" t="s">
        <v>93</v>
      </c>
      <c r="H75" t="s">
        <v>178</v>
      </c>
      <c r="I75" t="s">
        <v>141</v>
      </c>
      <c r="J75" t="s">
        <v>119</v>
      </c>
      <c r="K75" t="s">
        <v>115</v>
      </c>
      <c r="L75" t="s">
        <v>147</v>
      </c>
      <c r="M75" s="9">
        <v>0.21</v>
      </c>
      <c r="N75">
        <v>0</v>
      </c>
      <c r="O75" s="11">
        <v>0</v>
      </c>
      <c r="P75" s="8">
        <f t="shared" si="20"/>
        <v>0.14032868786359859</v>
      </c>
      <c r="Q75" s="11">
        <f t="shared" si="21"/>
        <v>1542.301577221036</v>
      </c>
      <c r="R75" s="11">
        <f t="shared" si="22"/>
        <v>216.42915662138657</v>
      </c>
      <c r="S75" s="11">
        <f t="shared" si="23"/>
        <v>176.53491804595788</v>
      </c>
      <c r="T75" s="11">
        <f t="shared" si="24"/>
        <v>131.45263853200541</v>
      </c>
      <c r="U75" s="9">
        <f t="shared" si="25"/>
        <v>0.67500000000000004</v>
      </c>
      <c r="V75" s="11">
        <f t="shared" si="26"/>
        <v>88.730531009103657</v>
      </c>
      <c r="W75" s="11">
        <v>88.730531009103657</v>
      </c>
      <c r="X75" s="9">
        <f t="shared" si="27"/>
        <v>0</v>
      </c>
      <c r="Y75" s="12">
        <f t="shared" si="28"/>
        <v>0</v>
      </c>
      <c r="Z75" t="str">
        <f t="shared" si="29"/>
        <v>PASS</v>
      </c>
    </row>
    <row r="76" spans="1:26">
      <c r="A76">
        <v>521769</v>
      </c>
      <c r="B76">
        <v>55</v>
      </c>
      <c r="C76">
        <v>1</v>
      </c>
      <c r="D76">
        <v>4</v>
      </c>
      <c r="E76" t="s">
        <v>144</v>
      </c>
      <c r="F76" t="s">
        <v>145</v>
      </c>
      <c r="G76" t="s">
        <v>93</v>
      </c>
      <c r="H76" t="s">
        <v>179</v>
      </c>
      <c r="I76" t="s">
        <v>146</v>
      </c>
      <c r="J76" t="s">
        <v>119</v>
      </c>
      <c r="K76" t="s">
        <v>115</v>
      </c>
      <c r="L76" t="s">
        <v>156</v>
      </c>
      <c r="M76" s="9">
        <v>0.2</v>
      </c>
      <c r="N76">
        <v>0</v>
      </c>
      <c r="O76" s="11">
        <v>0</v>
      </c>
      <c r="P76" s="8">
        <f t="shared" si="20"/>
        <v>0.14932757894148302</v>
      </c>
      <c r="Q76" s="11">
        <f t="shared" si="21"/>
        <v>2056.301810933709</v>
      </c>
      <c r="R76" s="11">
        <f t="shared" si="22"/>
        <v>307.06257099971793</v>
      </c>
      <c r="S76" s="11">
        <f t="shared" si="23"/>
        <v>250.46193707276041</v>
      </c>
      <c r="T76" s="11">
        <f t="shared" si="24"/>
        <v>138.19156258510591</v>
      </c>
      <c r="U76" s="9">
        <f t="shared" si="25"/>
        <v>0.67500000000000004</v>
      </c>
      <c r="V76" s="11">
        <f t="shared" si="26"/>
        <v>93.279304744946501</v>
      </c>
      <c r="W76" s="11">
        <v>93.279304744946444</v>
      </c>
      <c r="X76" s="9">
        <f t="shared" si="27"/>
        <v>0</v>
      </c>
      <c r="Y76" s="12">
        <f t="shared" si="28"/>
        <v>0</v>
      </c>
      <c r="Z76" t="str">
        <f t="shared" si="29"/>
        <v>PASS</v>
      </c>
    </row>
    <row r="77" spans="1:26">
      <c r="A77">
        <v>547946</v>
      </c>
      <c r="B77">
        <v>53</v>
      </c>
      <c r="C77">
        <v>4</v>
      </c>
      <c r="D77">
        <v>7</v>
      </c>
      <c r="E77" t="s">
        <v>139</v>
      </c>
      <c r="F77" t="s">
        <v>139</v>
      </c>
      <c r="G77" t="s">
        <v>92</v>
      </c>
      <c r="H77" t="s">
        <v>148</v>
      </c>
      <c r="I77" t="s">
        <v>165</v>
      </c>
      <c r="J77" t="s">
        <v>149</v>
      </c>
      <c r="K77" t="s">
        <v>155</v>
      </c>
      <c r="L77" t="s">
        <v>156</v>
      </c>
      <c r="M77" s="9">
        <v>0.65</v>
      </c>
      <c r="N77">
        <v>0</v>
      </c>
      <c r="O77" s="11">
        <v>0</v>
      </c>
      <c r="P77" s="8">
        <f t="shared" si="20"/>
        <v>8.9008636066487401E-2</v>
      </c>
      <c r="Q77" s="11">
        <f t="shared" si="21"/>
        <v>2433.1363241493418</v>
      </c>
      <c r="R77" s="11">
        <f t="shared" si="22"/>
        <v>216.57014557635969</v>
      </c>
      <c r="S77" s="11">
        <f t="shared" si="23"/>
        <v>176.6499186031846</v>
      </c>
      <c r="T77" s="11">
        <f t="shared" si="24"/>
        <v>131.45263853200541</v>
      </c>
      <c r="U77" s="9">
        <f t="shared" si="25"/>
        <v>1</v>
      </c>
      <c r="V77" s="11">
        <f t="shared" si="26"/>
        <v>131.45263853200541</v>
      </c>
      <c r="W77" s="11">
        <v>131.45263853200541</v>
      </c>
      <c r="X77" s="9">
        <f t="shared" si="27"/>
        <v>0</v>
      </c>
      <c r="Y77" s="12">
        <f t="shared" si="28"/>
        <v>0</v>
      </c>
      <c r="Z77" t="str">
        <f t="shared" si="29"/>
        <v>PASS</v>
      </c>
    </row>
    <row r="78" spans="1:26">
      <c r="A78">
        <v>631715</v>
      </c>
      <c r="B78">
        <v>62</v>
      </c>
      <c r="C78">
        <v>1</v>
      </c>
      <c r="D78">
        <v>4</v>
      </c>
      <c r="E78" t="s">
        <v>144</v>
      </c>
      <c r="F78" t="s">
        <v>145</v>
      </c>
      <c r="G78" t="s">
        <v>93</v>
      </c>
      <c r="H78" t="s">
        <v>154</v>
      </c>
      <c r="I78" t="s">
        <v>146</v>
      </c>
      <c r="J78" t="s">
        <v>119</v>
      </c>
      <c r="K78" t="s">
        <v>115</v>
      </c>
      <c r="L78" t="s">
        <v>153</v>
      </c>
      <c r="M78" s="9">
        <v>0.47</v>
      </c>
      <c r="N78">
        <v>0</v>
      </c>
      <c r="O78" s="11">
        <v>0</v>
      </c>
      <c r="P78" s="8">
        <f t="shared" si="20"/>
        <v>0.14832987557457661</v>
      </c>
      <c r="Q78" s="11">
        <f t="shared" si="21"/>
        <v>2004.8655892353631</v>
      </c>
      <c r="R78" s="11">
        <f t="shared" si="22"/>
        <v>297.38146339503163</v>
      </c>
      <c r="S78" s="11">
        <f t="shared" si="23"/>
        <v>242.56534141870466</v>
      </c>
      <c r="T78" s="11">
        <f t="shared" si="24"/>
        <v>138.19156258510591</v>
      </c>
      <c r="U78" s="9">
        <f t="shared" si="25"/>
        <v>0.67500000000000004</v>
      </c>
      <c r="V78" s="11">
        <f t="shared" si="26"/>
        <v>93.279304744946501</v>
      </c>
      <c r="W78" s="11">
        <v>93.279304744946444</v>
      </c>
      <c r="X78" s="9">
        <f t="shared" si="27"/>
        <v>0</v>
      </c>
      <c r="Y78" s="12">
        <f t="shared" si="28"/>
        <v>0</v>
      </c>
      <c r="Z78" t="str">
        <f t="shared" si="29"/>
        <v>PASS</v>
      </c>
    </row>
    <row r="79" spans="1:26">
      <c r="A79">
        <v>47189</v>
      </c>
      <c r="B79">
        <v>38</v>
      </c>
      <c r="C79">
        <v>16</v>
      </c>
      <c r="D79">
        <v>7</v>
      </c>
      <c r="E79" t="s">
        <v>89</v>
      </c>
      <c r="F79" t="s">
        <v>89</v>
      </c>
      <c r="G79" t="s">
        <v>93</v>
      </c>
      <c r="H79" t="s">
        <v>161</v>
      </c>
      <c r="I79" t="s">
        <v>146</v>
      </c>
      <c r="J79" t="s">
        <v>149</v>
      </c>
      <c r="K79" t="s">
        <v>104</v>
      </c>
      <c r="L79" t="s">
        <v>143</v>
      </c>
      <c r="M79" s="9">
        <v>1</v>
      </c>
      <c r="N79">
        <v>0</v>
      </c>
      <c r="O79" s="11">
        <v>0</v>
      </c>
      <c r="P79" s="8">
        <f t="shared" si="20"/>
        <v>9.8756993964775372E-2</v>
      </c>
      <c r="Q79" s="11">
        <f t="shared" si="21"/>
        <v>1869.2821676610392</v>
      </c>
      <c r="R79" s="11">
        <f t="shared" si="22"/>
        <v>184.60468775016346</v>
      </c>
      <c r="S79" s="11">
        <f t="shared" si="23"/>
        <v>150.57663177926202</v>
      </c>
      <c r="T79" s="11">
        <f t="shared" si="24"/>
        <v>114.2609258561382</v>
      </c>
      <c r="U79" s="9">
        <f t="shared" si="25"/>
        <v>1</v>
      </c>
      <c r="V79" s="11">
        <f t="shared" si="26"/>
        <v>114.2609258561382</v>
      </c>
      <c r="W79" s="11">
        <v>114.2609258561382</v>
      </c>
      <c r="X79" s="9">
        <f t="shared" si="27"/>
        <v>0</v>
      </c>
      <c r="Y79" s="12">
        <f t="shared" si="28"/>
        <v>0</v>
      </c>
      <c r="Z79" t="str">
        <f t="shared" si="29"/>
        <v>PASS</v>
      </c>
    </row>
    <row r="80" spans="1:26">
      <c r="A80">
        <v>392917</v>
      </c>
      <c r="B80">
        <v>72</v>
      </c>
      <c r="C80">
        <v>13</v>
      </c>
      <c r="D80">
        <v>6</v>
      </c>
      <c r="E80" t="s">
        <v>176</v>
      </c>
      <c r="F80" t="s">
        <v>145</v>
      </c>
      <c r="G80" t="s">
        <v>93</v>
      </c>
      <c r="H80" t="s">
        <v>154</v>
      </c>
      <c r="I80" t="s">
        <v>146</v>
      </c>
      <c r="J80" t="s">
        <v>142</v>
      </c>
      <c r="K80" t="s">
        <v>104</v>
      </c>
      <c r="L80" t="s">
        <v>153</v>
      </c>
      <c r="M80" s="9">
        <v>0.96</v>
      </c>
      <c r="N80">
        <v>0</v>
      </c>
      <c r="O80" s="11">
        <v>0</v>
      </c>
      <c r="P80" s="8">
        <f t="shared" si="20"/>
        <v>0.1148799451146431</v>
      </c>
      <c r="Q80" s="11">
        <f t="shared" si="21"/>
        <v>2000.1440492661338</v>
      </c>
      <c r="R80" s="11">
        <f t="shared" si="22"/>
        <v>229.77643860107347</v>
      </c>
      <c r="S80" s="11">
        <f t="shared" si="23"/>
        <v>187.42190465720398</v>
      </c>
      <c r="T80" s="11">
        <f t="shared" si="24"/>
        <v>138.19156258510591</v>
      </c>
      <c r="U80" s="9">
        <f t="shared" si="25"/>
        <v>1</v>
      </c>
      <c r="V80" s="11">
        <f t="shared" si="26"/>
        <v>138.19156258510591</v>
      </c>
      <c r="W80" s="11">
        <v>138.19156258510591</v>
      </c>
      <c r="X80" s="9">
        <f t="shared" si="27"/>
        <v>0</v>
      </c>
      <c r="Y80" s="12">
        <f t="shared" si="28"/>
        <v>0</v>
      </c>
      <c r="Z80" t="str">
        <f t="shared" si="29"/>
        <v>PASS</v>
      </c>
    </row>
    <row r="81" spans="1:26">
      <c r="A81">
        <v>399872</v>
      </c>
      <c r="B81">
        <v>47</v>
      </c>
      <c r="C81">
        <v>13</v>
      </c>
      <c r="D81">
        <v>6</v>
      </c>
      <c r="E81" t="s">
        <v>89</v>
      </c>
      <c r="F81" t="s">
        <v>89</v>
      </c>
      <c r="G81" t="s">
        <v>92</v>
      </c>
      <c r="H81" t="s">
        <v>179</v>
      </c>
      <c r="I81" t="s">
        <v>157</v>
      </c>
      <c r="J81" t="s">
        <v>142</v>
      </c>
      <c r="K81" t="s">
        <v>104</v>
      </c>
      <c r="L81" t="s">
        <v>147</v>
      </c>
      <c r="M81" s="9">
        <v>0.4</v>
      </c>
      <c r="N81">
        <v>0</v>
      </c>
      <c r="O81" s="11">
        <v>0</v>
      </c>
      <c r="P81" s="8">
        <f t="shared" si="20"/>
        <v>8.8647546206293032E-2</v>
      </c>
      <c r="Q81" s="11">
        <f t="shared" si="21"/>
        <v>1552.6779678964531</v>
      </c>
      <c r="R81" s="11">
        <f t="shared" si="22"/>
        <v>137.64109190259398</v>
      </c>
      <c r="S81" s="11">
        <f t="shared" si="23"/>
        <v>112.26980346870474</v>
      </c>
      <c r="T81" s="11">
        <f t="shared" si="24"/>
        <v>86.250349874331064</v>
      </c>
      <c r="U81" s="9">
        <f t="shared" si="25"/>
        <v>1</v>
      </c>
      <c r="V81" s="11">
        <f t="shared" si="26"/>
        <v>86.250349874331064</v>
      </c>
      <c r="W81" s="11">
        <v>86.250349874331064</v>
      </c>
      <c r="X81" s="9">
        <f t="shared" si="27"/>
        <v>0</v>
      </c>
      <c r="Y81" s="12">
        <f t="shared" si="28"/>
        <v>0</v>
      </c>
      <c r="Z81" t="str">
        <f t="shared" si="29"/>
        <v>PASS</v>
      </c>
    </row>
    <row r="82" spans="1:26">
      <c r="A82">
        <v>609590</v>
      </c>
      <c r="B82">
        <v>39</v>
      </c>
      <c r="C82">
        <v>4</v>
      </c>
      <c r="D82">
        <v>8</v>
      </c>
      <c r="E82" t="s">
        <v>167</v>
      </c>
      <c r="F82" t="s">
        <v>145</v>
      </c>
      <c r="G82" t="s">
        <v>92</v>
      </c>
      <c r="H82" t="s">
        <v>175</v>
      </c>
      <c r="I82" t="s">
        <v>141</v>
      </c>
      <c r="J82" t="s">
        <v>166</v>
      </c>
      <c r="K82" t="s">
        <v>155</v>
      </c>
      <c r="L82" t="s">
        <v>143</v>
      </c>
      <c r="M82" s="9">
        <v>0.56000000000000005</v>
      </c>
      <c r="N82">
        <v>0</v>
      </c>
      <c r="O82" s="11">
        <v>0</v>
      </c>
      <c r="P82" s="8">
        <f t="shared" si="20"/>
        <v>7.9724976519493368E-2</v>
      </c>
      <c r="Q82" s="11">
        <f t="shared" si="21"/>
        <v>1569.8876987094427</v>
      </c>
      <c r="R82" s="11">
        <f t="shared" si="22"/>
        <v>125.1592599178518</v>
      </c>
      <c r="S82" s="11">
        <f t="shared" si="23"/>
        <v>102.08873904611141</v>
      </c>
      <c r="T82" s="11">
        <f t="shared" si="24"/>
        <v>86.250349874331064</v>
      </c>
      <c r="U82" s="9">
        <f t="shared" si="25"/>
        <v>1</v>
      </c>
      <c r="V82" s="11">
        <f t="shared" si="26"/>
        <v>86.250349874331064</v>
      </c>
      <c r="W82" s="11">
        <v>86.250349874331064</v>
      </c>
      <c r="X82" s="9">
        <f t="shared" si="27"/>
        <v>0</v>
      </c>
      <c r="Y82" s="12">
        <f t="shared" si="28"/>
        <v>0</v>
      </c>
      <c r="Z82" t="str">
        <f t="shared" si="29"/>
        <v>PASS</v>
      </c>
    </row>
    <row r="83" spans="1:26">
      <c r="A83">
        <v>235398</v>
      </c>
      <c r="B83">
        <v>80</v>
      </c>
      <c r="C83">
        <v>14</v>
      </c>
      <c r="D83">
        <v>7</v>
      </c>
      <c r="E83" t="s">
        <v>89</v>
      </c>
      <c r="F83" t="s">
        <v>89</v>
      </c>
      <c r="G83" t="s">
        <v>93</v>
      </c>
      <c r="H83" t="s">
        <v>148</v>
      </c>
      <c r="I83" t="s">
        <v>146</v>
      </c>
      <c r="J83" t="s">
        <v>149</v>
      </c>
      <c r="K83" t="s">
        <v>104</v>
      </c>
      <c r="L83" t="s">
        <v>180</v>
      </c>
      <c r="M83" s="9">
        <v>1</v>
      </c>
      <c r="N83">
        <v>0</v>
      </c>
      <c r="O83" s="11">
        <v>0</v>
      </c>
      <c r="P83" s="8">
        <f t="shared" si="20"/>
        <v>0.10528942387422585</v>
      </c>
      <c r="Q83" s="11">
        <f t="shared" si="21"/>
        <v>2709.9337112764952</v>
      </c>
      <c r="R83" s="11">
        <f t="shared" si="22"/>
        <v>285.32735919764485</v>
      </c>
      <c r="S83" s="11">
        <f t="shared" si="23"/>
        <v>232.73316201264751</v>
      </c>
      <c r="T83" s="11">
        <f t="shared" si="24"/>
        <v>138.19156258510591</v>
      </c>
      <c r="U83" s="9">
        <f t="shared" si="25"/>
        <v>1</v>
      </c>
      <c r="V83" s="11">
        <f t="shared" si="26"/>
        <v>138.19156258510591</v>
      </c>
      <c r="W83" s="11">
        <v>138.19156258510591</v>
      </c>
      <c r="X83" s="9">
        <f t="shared" si="27"/>
        <v>0</v>
      </c>
      <c r="Y83" s="12">
        <f t="shared" si="28"/>
        <v>0</v>
      </c>
      <c r="Z83" t="str">
        <f t="shared" si="29"/>
        <v>PASS</v>
      </c>
    </row>
    <row r="84" spans="1:26">
      <c r="A84">
        <v>537780</v>
      </c>
      <c r="B84">
        <v>30</v>
      </c>
      <c r="C84">
        <v>3</v>
      </c>
      <c r="D84">
        <v>5</v>
      </c>
      <c r="E84" t="s">
        <v>150</v>
      </c>
      <c r="F84" t="s">
        <v>150</v>
      </c>
      <c r="G84" t="s">
        <v>93</v>
      </c>
      <c r="H84" t="s">
        <v>154</v>
      </c>
      <c r="I84" t="s">
        <v>141</v>
      </c>
      <c r="J84" t="s">
        <v>151</v>
      </c>
      <c r="K84" t="s">
        <v>155</v>
      </c>
      <c r="L84" t="s">
        <v>162</v>
      </c>
      <c r="M84" s="9">
        <v>0.15</v>
      </c>
      <c r="N84">
        <v>0</v>
      </c>
      <c r="O84" s="11">
        <v>0</v>
      </c>
      <c r="P84" s="8">
        <f t="shared" si="20"/>
        <v>9.0834422141795865E-2</v>
      </c>
      <c r="Q84" s="11">
        <f t="shared" si="21"/>
        <v>1476.5935443027565</v>
      </c>
      <c r="R84" s="11">
        <f t="shared" si="22"/>
        <v>134.12552133504715</v>
      </c>
      <c r="S84" s="11">
        <f t="shared" si="23"/>
        <v>109.4022556220329</v>
      </c>
      <c r="T84" s="11">
        <f t="shared" si="24"/>
        <v>86.250349874331064</v>
      </c>
      <c r="U84" s="9">
        <f t="shared" si="25"/>
        <v>1</v>
      </c>
      <c r="V84" s="11">
        <f t="shared" si="26"/>
        <v>86.250349874331064</v>
      </c>
      <c r="W84" s="11">
        <v>86.250349874331064</v>
      </c>
      <c r="X84" s="9">
        <f t="shared" si="27"/>
        <v>0</v>
      </c>
      <c r="Y84" s="12">
        <f t="shared" si="28"/>
        <v>0</v>
      </c>
      <c r="Z84" t="str">
        <f t="shared" si="29"/>
        <v>PASS</v>
      </c>
    </row>
    <row r="85" spans="1:26">
      <c r="A85">
        <v>159297</v>
      </c>
      <c r="B85">
        <v>34</v>
      </c>
      <c r="C85">
        <v>19</v>
      </c>
      <c r="D85">
        <v>5</v>
      </c>
      <c r="E85" t="s">
        <v>139</v>
      </c>
      <c r="F85" t="s">
        <v>139</v>
      </c>
      <c r="G85" t="s">
        <v>92</v>
      </c>
      <c r="H85" t="s">
        <v>140</v>
      </c>
      <c r="I85" t="s">
        <v>146</v>
      </c>
      <c r="J85" t="s">
        <v>151</v>
      </c>
      <c r="K85" t="s">
        <v>104</v>
      </c>
      <c r="L85" t="s">
        <v>143</v>
      </c>
      <c r="M85" s="9">
        <v>0.5</v>
      </c>
      <c r="N85">
        <v>0</v>
      </c>
      <c r="O85" s="11">
        <v>0</v>
      </c>
      <c r="P85" s="8">
        <f t="shared" si="20"/>
        <v>9.3640058780539631E-2</v>
      </c>
      <c r="Q85" s="11">
        <f t="shared" si="21"/>
        <v>1798.77887096675</v>
      </c>
      <c r="R85" s="11">
        <f t="shared" si="22"/>
        <v>168.43775921051918</v>
      </c>
      <c r="S85" s="11">
        <f t="shared" si="23"/>
        <v>137.38974213207047</v>
      </c>
      <c r="T85" s="11">
        <f t="shared" si="24"/>
        <v>101.2887844087093</v>
      </c>
      <c r="U85" s="9">
        <f t="shared" si="25"/>
        <v>1</v>
      </c>
      <c r="V85" s="11">
        <f t="shared" si="26"/>
        <v>101.2887844087093</v>
      </c>
      <c r="W85" s="11">
        <v>101.2887844087093</v>
      </c>
      <c r="X85" s="9">
        <f t="shared" si="27"/>
        <v>0</v>
      </c>
      <c r="Y85" s="12">
        <f t="shared" si="28"/>
        <v>0</v>
      </c>
      <c r="Z85" t="str">
        <f t="shared" si="29"/>
        <v>PASS</v>
      </c>
    </row>
    <row r="86" spans="1:26">
      <c r="A86">
        <v>445952</v>
      </c>
      <c r="B86">
        <v>50</v>
      </c>
      <c r="C86">
        <v>6</v>
      </c>
      <c r="D86">
        <v>6</v>
      </c>
      <c r="E86" t="s">
        <v>158</v>
      </c>
      <c r="F86" t="s">
        <v>158</v>
      </c>
      <c r="G86" t="s">
        <v>93</v>
      </c>
      <c r="H86" t="s">
        <v>161</v>
      </c>
      <c r="I86" t="s">
        <v>146</v>
      </c>
      <c r="J86" t="s">
        <v>142</v>
      </c>
      <c r="K86" t="s">
        <v>116</v>
      </c>
      <c r="L86" t="s">
        <v>147</v>
      </c>
      <c r="M86" s="9">
        <v>0.24</v>
      </c>
      <c r="N86">
        <v>1</v>
      </c>
      <c r="O86" s="11">
        <v>35.46</v>
      </c>
      <c r="P86" s="8">
        <f t="shared" si="20"/>
        <v>0.12341630141451951</v>
      </c>
      <c r="Q86" s="11">
        <f t="shared" si="21"/>
        <v>1709.551223474785</v>
      </c>
      <c r="R86" s="11">
        <f t="shared" si="22"/>
        <v>210.98648907992467</v>
      </c>
      <c r="S86" s="11">
        <f t="shared" si="23"/>
        <v>172.09549369397837</v>
      </c>
      <c r="T86" s="11">
        <f t="shared" si="24"/>
        <v>129.79971150884131</v>
      </c>
      <c r="U86" s="9">
        <f t="shared" si="25"/>
        <v>1.1200000000000001</v>
      </c>
      <c r="V86" s="11">
        <f t="shared" si="26"/>
        <v>145.37567688990228</v>
      </c>
      <c r="W86" s="11">
        <v>145.37567688990231</v>
      </c>
      <c r="X86" s="9">
        <f t="shared" si="27"/>
        <v>0</v>
      </c>
      <c r="Y86" s="12">
        <f t="shared" si="28"/>
        <v>0</v>
      </c>
      <c r="Z86" t="str">
        <f t="shared" si="29"/>
        <v>PASS</v>
      </c>
    </row>
    <row r="87" spans="1:26">
      <c r="A87">
        <v>26331</v>
      </c>
      <c r="B87">
        <v>30</v>
      </c>
      <c r="C87">
        <v>10</v>
      </c>
      <c r="D87">
        <v>6</v>
      </c>
      <c r="E87" t="s">
        <v>158</v>
      </c>
      <c r="F87" t="s">
        <v>158</v>
      </c>
      <c r="G87" t="s">
        <v>93</v>
      </c>
      <c r="H87" t="s">
        <v>161</v>
      </c>
      <c r="I87" t="s">
        <v>165</v>
      </c>
      <c r="J87" t="s">
        <v>142</v>
      </c>
      <c r="K87" t="s">
        <v>116</v>
      </c>
      <c r="L87" t="s">
        <v>162</v>
      </c>
      <c r="M87" s="9">
        <v>1</v>
      </c>
      <c r="N87">
        <v>0</v>
      </c>
      <c r="O87" s="11">
        <v>0</v>
      </c>
      <c r="P87" s="8">
        <f t="shared" si="20"/>
        <v>0.11679573563816022</v>
      </c>
      <c r="Q87" s="11">
        <f t="shared" si="21"/>
        <v>1986.8265367035729</v>
      </c>
      <c r="R87" s="11">
        <f t="shared" si="22"/>
        <v>232.05286693971192</v>
      </c>
      <c r="S87" s="11">
        <f t="shared" si="23"/>
        <v>189.27872051543906</v>
      </c>
      <c r="T87" s="11">
        <f t="shared" si="24"/>
        <v>138.19156258510591</v>
      </c>
      <c r="U87" s="9">
        <f t="shared" si="25"/>
        <v>1.1200000000000001</v>
      </c>
      <c r="V87" s="11">
        <f t="shared" si="26"/>
        <v>154.77455009531863</v>
      </c>
      <c r="W87" s="11">
        <v>154.7745500953186</v>
      </c>
      <c r="X87" s="9">
        <f t="shared" si="27"/>
        <v>0</v>
      </c>
      <c r="Y87" s="12">
        <f t="shared" si="28"/>
        <v>0</v>
      </c>
      <c r="Z87" t="str">
        <f t="shared" si="29"/>
        <v>PASS</v>
      </c>
    </row>
    <row r="88" spans="1:26">
      <c r="A88">
        <v>547755</v>
      </c>
      <c r="B88">
        <v>39</v>
      </c>
      <c r="C88">
        <v>8</v>
      </c>
      <c r="D88">
        <v>8</v>
      </c>
      <c r="E88" t="s">
        <v>139</v>
      </c>
      <c r="F88" t="s">
        <v>139</v>
      </c>
      <c r="G88" t="s">
        <v>92</v>
      </c>
      <c r="H88" t="s">
        <v>154</v>
      </c>
      <c r="I88" t="s">
        <v>165</v>
      </c>
      <c r="J88" t="s">
        <v>166</v>
      </c>
      <c r="K88" t="s">
        <v>116</v>
      </c>
      <c r="L88" t="s">
        <v>143</v>
      </c>
      <c r="M88" s="9">
        <v>0.87</v>
      </c>
      <c r="N88">
        <v>0</v>
      </c>
      <c r="O88" s="11">
        <v>0</v>
      </c>
      <c r="P88" s="8">
        <f t="shared" si="20"/>
        <v>8.1284564315617563E-2</v>
      </c>
      <c r="Q88" s="11">
        <f t="shared" si="21"/>
        <v>1574.2842258506153</v>
      </c>
      <c r="R88" s="11">
        <f t="shared" si="22"/>
        <v>127.96500740721655</v>
      </c>
      <c r="S88" s="11">
        <f t="shared" si="23"/>
        <v>104.37730501765073</v>
      </c>
      <c r="T88" s="11">
        <f t="shared" si="24"/>
        <v>86.250349874331064</v>
      </c>
      <c r="U88" s="9">
        <f t="shared" si="25"/>
        <v>1.1200000000000001</v>
      </c>
      <c r="V88" s="11">
        <f t="shared" si="26"/>
        <v>96.600391859250806</v>
      </c>
      <c r="W88" s="11">
        <v>96.600391859250806</v>
      </c>
      <c r="X88" s="9">
        <f t="shared" si="27"/>
        <v>0</v>
      </c>
      <c r="Y88" s="12">
        <f t="shared" si="28"/>
        <v>0</v>
      </c>
      <c r="Z88" t="str">
        <f t="shared" si="29"/>
        <v>PASS</v>
      </c>
    </row>
    <row r="89" spans="1:26">
      <c r="A89">
        <v>99802</v>
      </c>
      <c r="B89">
        <v>67</v>
      </c>
      <c r="C89">
        <v>13</v>
      </c>
      <c r="D89">
        <v>4</v>
      </c>
      <c r="E89" t="s">
        <v>150</v>
      </c>
      <c r="F89" t="s">
        <v>150</v>
      </c>
      <c r="G89" t="s">
        <v>93</v>
      </c>
      <c r="H89" t="s">
        <v>161</v>
      </c>
      <c r="I89" t="s">
        <v>141</v>
      </c>
      <c r="J89" t="s">
        <v>119</v>
      </c>
      <c r="K89" t="s">
        <v>104</v>
      </c>
      <c r="L89" t="s">
        <v>153</v>
      </c>
      <c r="M89" s="9">
        <v>1</v>
      </c>
      <c r="N89">
        <v>0</v>
      </c>
      <c r="O89" s="11">
        <v>0</v>
      </c>
      <c r="P89" s="8">
        <f t="shared" si="20"/>
        <v>8.269082352950817E-2</v>
      </c>
      <c r="Q89" s="11">
        <f t="shared" si="21"/>
        <v>1922.4197643144857</v>
      </c>
      <c r="R89" s="11">
        <f t="shared" si="22"/>
        <v>158.96647348056783</v>
      </c>
      <c r="S89" s="11">
        <f t="shared" si="23"/>
        <v>129.66429202993024</v>
      </c>
      <c r="T89" s="11">
        <f t="shared" si="24"/>
        <v>91.222283677244803</v>
      </c>
      <c r="U89" s="9">
        <f t="shared" si="25"/>
        <v>0.9</v>
      </c>
      <c r="V89" s="11">
        <f t="shared" si="26"/>
        <v>82.100055309520329</v>
      </c>
      <c r="W89" s="11">
        <v>82.100055309520329</v>
      </c>
      <c r="X89" s="9">
        <f t="shared" si="27"/>
        <v>0</v>
      </c>
      <c r="Y89" s="12">
        <f t="shared" si="28"/>
        <v>0</v>
      </c>
      <c r="Z89" t="str">
        <f t="shared" si="29"/>
        <v>PASS</v>
      </c>
    </row>
    <row r="90" spans="1:26">
      <c r="A90">
        <v>569971</v>
      </c>
      <c r="B90">
        <v>41</v>
      </c>
      <c r="C90">
        <v>0</v>
      </c>
      <c r="D90">
        <v>5</v>
      </c>
      <c r="E90" t="s">
        <v>89</v>
      </c>
      <c r="F90" t="s">
        <v>89</v>
      </c>
      <c r="G90" t="s">
        <v>93</v>
      </c>
      <c r="H90" t="s">
        <v>179</v>
      </c>
      <c r="I90" t="s">
        <v>146</v>
      </c>
      <c r="J90" t="s">
        <v>151</v>
      </c>
      <c r="K90" t="s">
        <v>115</v>
      </c>
      <c r="L90" t="s">
        <v>147</v>
      </c>
      <c r="M90" s="9">
        <v>0.19</v>
      </c>
      <c r="N90">
        <v>0</v>
      </c>
      <c r="O90" s="11">
        <v>0</v>
      </c>
      <c r="P90" s="8">
        <f t="shared" si="20"/>
        <v>0.15600659043292586</v>
      </c>
      <c r="Q90" s="11">
        <f t="shared" si="21"/>
        <v>1546.4889429054235</v>
      </c>
      <c r="R90" s="11">
        <f t="shared" si="22"/>
        <v>241.26246712489487</v>
      </c>
      <c r="S90" s="11">
        <f t="shared" si="23"/>
        <v>196.79072139049424</v>
      </c>
      <c r="T90" s="11">
        <f t="shared" si="24"/>
        <v>138.19156258510591</v>
      </c>
      <c r="U90" s="9">
        <f t="shared" si="25"/>
        <v>0.75</v>
      </c>
      <c r="V90" s="11">
        <f t="shared" si="26"/>
        <v>103.64367193882944</v>
      </c>
      <c r="W90" s="11">
        <v>103.6436719388294</v>
      </c>
      <c r="X90" s="9">
        <f t="shared" si="27"/>
        <v>0</v>
      </c>
      <c r="Y90" s="12">
        <f t="shared" si="28"/>
        <v>0</v>
      </c>
      <c r="Z90" t="str">
        <f t="shared" si="29"/>
        <v>PASS</v>
      </c>
    </row>
    <row r="91" spans="1:26">
      <c r="A91">
        <v>141416</v>
      </c>
      <c r="B91">
        <v>29</v>
      </c>
      <c r="C91">
        <v>8</v>
      </c>
      <c r="D91">
        <v>6</v>
      </c>
      <c r="E91" t="s">
        <v>150</v>
      </c>
      <c r="F91" t="s">
        <v>150</v>
      </c>
      <c r="G91" t="s">
        <v>93</v>
      </c>
      <c r="H91" t="s">
        <v>95</v>
      </c>
      <c r="I91" t="s">
        <v>172</v>
      </c>
      <c r="J91" t="s">
        <v>142</v>
      </c>
      <c r="K91" t="s">
        <v>116</v>
      </c>
      <c r="L91" t="s">
        <v>162</v>
      </c>
      <c r="M91" s="9">
        <v>0.91</v>
      </c>
      <c r="N91">
        <v>0</v>
      </c>
      <c r="O91" s="11">
        <v>0</v>
      </c>
      <c r="P91" s="8">
        <f t="shared" si="20"/>
        <v>0.1052580211239468</v>
      </c>
      <c r="Q91" s="11">
        <f t="shared" si="21"/>
        <v>1717.899172288124</v>
      </c>
      <c r="R91" s="11">
        <f t="shared" si="22"/>
        <v>180.82266736551409</v>
      </c>
      <c r="S91" s="11">
        <f t="shared" si="23"/>
        <v>147.4917486282354</v>
      </c>
      <c r="T91" s="11">
        <f t="shared" si="24"/>
        <v>113.37839590964759</v>
      </c>
      <c r="U91" s="9">
        <f t="shared" si="25"/>
        <v>1.1200000000000001</v>
      </c>
      <c r="V91" s="11">
        <f t="shared" si="26"/>
        <v>126.98380341880532</v>
      </c>
      <c r="W91" s="11">
        <v>126.98380341880529</v>
      </c>
      <c r="X91" s="9">
        <f t="shared" si="27"/>
        <v>0</v>
      </c>
      <c r="Y91" s="12">
        <f t="shared" si="28"/>
        <v>0</v>
      </c>
      <c r="Z91" t="str">
        <f t="shared" si="29"/>
        <v>PASS</v>
      </c>
    </row>
    <row r="92" spans="1:26">
      <c r="A92">
        <v>270810</v>
      </c>
      <c r="B92">
        <v>19</v>
      </c>
      <c r="C92">
        <v>13</v>
      </c>
      <c r="D92">
        <v>7</v>
      </c>
      <c r="E92" t="s">
        <v>139</v>
      </c>
      <c r="F92" t="s">
        <v>139</v>
      </c>
      <c r="G92" t="s">
        <v>93</v>
      </c>
      <c r="H92" t="s">
        <v>154</v>
      </c>
      <c r="I92" t="s">
        <v>146</v>
      </c>
      <c r="J92" t="s">
        <v>149</v>
      </c>
      <c r="K92" t="s">
        <v>104</v>
      </c>
      <c r="L92" t="s">
        <v>107</v>
      </c>
      <c r="M92" s="9">
        <v>0.74</v>
      </c>
      <c r="N92">
        <v>1</v>
      </c>
      <c r="O92" s="11">
        <v>1172</v>
      </c>
      <c r="P92" s="8">
        <f t="shared" si="20"/>
        <v>0.10397312663859326</v>
      </c>
      <c r="Q92" s="11">
        <f t="shared" si="21"/>
        <v>2125.3820433951332</v>
      </c>
      <c r="R92" s="11">
        <f t="shared" si="22"/>
        <v>220.98261635331431</v>
      </c>
      <c r="S92" s="11">
        <f t="shared" si="23"/>
        <v>180.24904165642712</v>
      </c>
      <c r="T92" s="11">
        <f t="shared" si="24"/>
        <v>138.19156258510591</v>
      </c>
      <c r="U92" s="9">
        <f t="shared" si="25"/>
        <v>2.4</v>
      </c>
      <c r="V92" s="11">
        <f t="shared" si="26"/>
        <v>331.65975020425418</v>
      </c>
      <c r="W92" s="11">
        <v>331.65975020425412</v>
      </c>
      <c r="X92" s="9">
        <f t="shared" si="27"/>
        <v>0</v>
      </c>
      <c r="Y92" s="12">
        <f t="shared" si="28"/>
        <v>0</v>
      </c>
      <c r="Z92" t="str">
        <f t="shared" si="29"/>
        <v>PASS</v>
      </c>
    </row>
    <row r="93" spans="1:26">
      <c r="A93">
        <v>270369</v>
      </c>
      <c r="B93">
        <v>44</v>
      </c>
      <c r="C93">
        <v>1</v>
      </c>
      <c r="D93">
        <v>6</v>
      </c>
      <c r="E93" t="s">
        <v>89</v>
      </c>
      <c r="F93" t="s">
        <v>89</v>
      </c>
      <c r="G93" t="s">
        <v>92</v>
      </c>
      <c r="H93" t="s">
        <v>140</v>
      </c>
      <c r="I93" t="s">
        <v>141</v>
      </c>
      <c r="J93" t="s">
        <v>142</v>
      </c>
      <c r="K93" t="s">
        <v>115</v>
      </c>
      <c r="L93" t="s">
        <v>147</v>
      </c>
      <c r="M93" s="9">
        <v>1</v>
      </c>
      <c r="N93">
        <v>0</v>
      </c>
      <c r="O93" s="11">
        <v>0</v>
      </c>
      <c r="P93" s="8">
        <f t="shared" si="20"/>
        <v>0.12672425711305763</v>
      </c>
      <c r="Q93" s="11">
        <f t="shared" si="21"/>
        <v>1935.0323626209299</v>
      </c>
      <c r="R93" s="11">
        <f t="shared" si="22"/>
        <v>245.21553864286207</v>
      </c>
      <c r="S93" s="11">
        <f t="shared" si="23"/>
        <v>200.0151259362965</v>
      </c>
      <c r="T93" s="11">
        <f t="shared" si="24"/>
        <v>138.19156258510591</v>
      </c>
      <c r="U93" s="9">
        <f t="shared" si="25"/>
        <v>0.75</v>
      </c>
      <c r="V93" s="11">
        <f t="shared" si="26"/>
        <v>103.64367193882944</v>
      </c>
      <c r="W93" s="11">
        <v>103.6436719388294</v>
      </c>
      <c r="X93" s="9">
        <f t="shared" si="27"/>
        <v>0</v>
      </c>
      <c r="Y93" s="12">
        <f t="shared" si="28"/>
        <v>0</v>
      </c>
      <c r="Z93" t="str">
        <f t="shared" si="29"/>
        <v>PASS</v>
      </c>
    </row>
    <row r="94" spans="1:26">
      <c r="A94">
        <v>498001</v>
      </c>
      <c r="B94">
        <v>56</v>
      </c>
      <c r="C94">
        <v>2</v>
      </c>
      <c r="D94">
        <v>4</v>
      </c>
      <c r="E94" t="s">
        <v>144</v>
      </c>
      <c r="F94" t="s">
        <v>145</v>
      </c>
      <c r="G94" t="s">
        <v>93</v>
      </c>
      <c r="H94" t="s">
        <v>181</v>
      </c>
      <c r="I94" t="s">
        <v>98</v>
      </c>
      <c r="J94" t="s">
        <v>119</v>
      </c>
      <c r="K94" t="s">
        <v>155</v>
      </c>
      <c r="L94" t="s">
        <v>156</v>
      </c>
      <c r="M94" s="9">
        <v>0.12</v>
      </c>
      <c r="N94">
        <v>0</v>
      </c>
      <c r="O94" s="11">
        <v>0</v>
      </c>
      <c r="P94" s="8">
        <f t="shared" si="20"/>
        <v>9.4197373489530931E-2</v>
      </c>
      <c r="Q94" s="11">
        <f t="shared" si="21"/>
        <v>2702.9431059969552</v>
      </c>
      <c r="R94" s="11">
        <f t="shared" si="22"/>
        <v>254.61014127654798</v>
      </c>
      <c r="S94" s="11">
        <f t="shared" si="23"/>
        <v>207.67802788491593</v>
      </c>
      <c r="T94" s="11">
        <f t="shared" si="24"/>
        <v>138.19156258510591</v>
      </c>
      <c r="U94" s="9">
        <f t="shared" si="25"/>
        <v>0.9</v>
      </c>
      <c r="V94" s="11">
        <f t="shared" si="26"/>
        <v>124.37240632659532</v>
      </c>
      <c r="W94" s="11">
        <v>124.3724063265953</v>
      </c>
      <c r="X94" s="9">
        <f t="shared" si="27"/>
        <v>0</v>
      </c>
      <c r="Y94" s="12">
        <f t="shared" si="28"/>
        <v>0</v>
      </c>
      <c r="Z94" t="str">
        <f t="shared" si="29"/>
        <v>PASS</v>
      </c>
    </row>
    <row r="95" spans="1:26">
      <c r="A95">
        <v>343045</v>
      </c>
      <c r="B95">
        <v>63</v>
      </c>
      <c r="C95">
        <v>5</v>
      </c>
      <c r="D95">
        <v>9</v>
      </c>
      <c r="E95" t="s">
        <v>164</v>
      </c>
      <c r="F95" t="s">
        <v>145</v>
      </c>
      <c r="G95" t="s">
        <v>93</v>
      </c>
      <c r="H95" t="s">
        <v>148</v>
      </c>
      <c r="I95" t="s">
        <v>165</v>
      </c>
      <c r="J95" t="s">
        <v>118</v>
      </c>
      <c r="K95" t="s">
        <v>116</v>
      </c>
      <c r="L95" t="s">
        <v>153</v>
      </c>
      <c r="M95" s="9">
        <v>0.5</v>
      </c>
      <c r="N95">
        <v>0</v>
      </c>
      <c r="O95" s="11">
        <v>0</v>
      </c>
      <c r="P95" s="8">
        <f t="shared" si="20"/>
        <v>0.11531762496975528</v>
      </c>
      <c r="Q95" s="11">
        <f t="shared" si="21"/>
        <v>2321.8082540687114</v>
      </c>
      <c r="R95" s="11">
        <f t="shared" si="22"/>
        <v>267.74541349437794</v>
      </c>
      <c r="S95" s="11">
        <f t="shared" si="23"/>
        <v>218.39208434886291</v>
      </c>
      <c r="T95" s="11">
        <f t="shared" si="24"/>
        <v>138.19156258510591</v>
      </c>
      <c r="U95" s="9">
        <f t="shared" si="25"/>
        <v>1.4560000000000002</v>
      </c>
      <c r="V95" s="11">
        <f t="shared" si="26"/>
        <v>201.20691512391423</v>
      </c>
      <c r="W95" s="11">
        <v>201.20691512391409</v>
      </c>
      <c r="X95" s="9">
        <f t="shared" si="27"/>
        <v>0</v>
      </c>
      <c r="Y95" s="12">
        <f t="shared" si="28"/>
        <v>0</v>
      </c>
      <c r="Z95" t="str">
        <f t="shared" si="29"/>
        <v>PASS</v>
      </c>
    </row>
    <row r="96" spans="1:26">
      <c r="A96">
        <v>252203</v>
      </c>
      <c r="B96">
        <v>47</v>
      </c>
      <c r="C96">
        <v>8</v>
      </c>
      <c r="D96">
        <v>7</v>
      </c>
      <c r="E96" t="s">
        <v>159</v>
      </c>
      <c r="F96" t="s">
        <v>145</v>
      </c>
      <c r="G96" t="s">
        <v>92</v>
      </c>
      <c r="H96" t="s">
        <v>140</v>
      </c>
      <c r="I96" t="s">
        <v>141</v>
      </c>
      <c r="J96" t="s">
        <v>149</v>
      </c>
      <c r="K96" t="s">
        <v>116</v>
      </c>
      <c r="L96" t="s">
        <v>147</v>
      </c>
      <c r="M96" s="9">
        <v>1</v>
      </c>
      <c r="N96">
        <v>0</v>
      </c>
      <c r="O96" s="11">
        <v>0</v>
      </c>
      <c r="P96" s="8">
        <f t="shared" si="20"/>
        <v>9.7716716093786418E-2</v>
      </c>
      <c r="Q96" s="11">
        <f t="shared" si="21"/>
        <v>1767.7080354723239</v>
      </c>
      <c r="R96" s="11">
        <f t="shared" si="22"/>
        <v>172.73462423895401</v>
      </c>
      <c r="S96" s="11">
        <f t="shared" si="23"/>
        <v>140.89456896543589</v>
      </c>
      <c r="T96" s="11">
        <f t="shared" si="24"/>
        <v>101.90231449399199</v>
      </c>
      <c r="U96" s="9">
        <f t="shared" si="25"/>
        <v>1.1200000000000001</v>
      </c>
      <c r="V96" s="11">
        <f t="shared" si="26"/>
        <v>114.13059223327105</v>
      </c>
      <c r="W96" s="11">
        <v>114.1305922332711</v>
      </c>
      <c r="X96" s="9">
        <f t="shared" si="27"/>
        <v>0</v>
      </c>
      <c r="Y96" s="12">
        <f t="shared" si="28"/>
        <v>0</v>
      </c>
      <c r="Z96" t="str">
        <f t="shared" si="29"/>
        <v>PASS</v>
      </c>
    </row>
    <row r="97" spans="1:26">
      <c r="A97">
        <v>221060</v>
      </c>
      <c r="B97">
        <v>20</v>
      </c>
      <c r="C97">
        <v>11</v>
      </c>
      <c r="D97">
        <v>6</v>
      </c>
      <c r="E97" t="s">
        <v>150</v>
      </c>
      <c r="F97" t="s">
        <v>150</v>
      </c>
      <c r="G97" t="s">
        <v>93</v>
      </c>
      <c r="H97" t="s">
        <v>140</v>
      </c>
      <c r="I97" t="s">
        <v>98</v>
      </c>
      <c r="J97" t="s">
        <v>142</v>
      </c>
      <c r="K97" t="s">
        <v>104</v>
      </c>
      <c r="L97" t="s">
        <v>107</v>
      </c>
      <c r="M97" s="9">
        <v>0.9</v>
      </c>
      <c r="N97">
        <v>0</v>
      </c>
      <c r="O97" s="11">
        <v>0</v>
      </c>
      <c r="P97" s="8">
        <f t="shared" si="20"/>
        <v>9.2518330525874506E-2</v>
      </c>
      <c r="Q97" s="11">
        <f t="shared" si="21"/>
        <v>2795.236238767367</v>
      </c>
      <c r="R97" s="11">
        <f t="shared" si="22"/>
        <v>258.61059023618151</v>
      </c>
      <c r="S97" s="11">
        <f t="shared" si="23"/>
        <v>210.94107682093048</v>
      </c>
      <c r="T97" s="11">
        <f t="shared" si="24"/>
        <v>138.19156258510591</v>
      </c>
      <c r="U97" s="9">
        <f t="shared" si="25"/>
        <v>2.4</v>
      </c>
      <c r="V97" s="11">
        <f t="shared" si="26"/>
        <v>331.65975020425418</v>
      </c>
      <c r="W97" s="11">
        <v>331.65975020425412</v>
      </c>
      <c r="X97" s="9">
        <f t="shared" si="27"/>
        <v>0</v>
      </c>
      <c r="Y97" s="12">
        <f t="shared" si="28"/>
        <v>0</v>
      </c>
      <c r="Z97" t="str">
        <f t="shared" si="29"/>
        <v>PASS</v>
      </c>
    </row>
    <row r="98" spans="1:26">
      <c r="A98">
        <v>508854</v>
      </c>
      <c r="B98">
        <v>56</v>
      </c>
      <c r="C98">
        <v>0</v>
      </c>
      <c r="D98">
        <v>5</v>
      </c>
      <c r="E98" t="s">
        <v>144</v>
      </c>
      <c r="F98" t="s">
        <v>145</v>
      </c>
      <c r="G98" t="s">
        <v>93</v>
      </c>
      <c r="H98" t="s">
        <v>95</v>
      </c>
      <c r="I98" t="s">
        <v>172</v>
      </c>
      <c r="J98" t="s">
        <v>151</v>
      </c>
      <c r="K98" t="s">
        <v>115</v>
      </c>
      <c r="L98" t="s">
        <v>156</v>
      </c>
      <c r="M98" s="9">
        <v>0.8</v>
      </c>
      <c r="N98">
        <v>0</v>
      </c>
      <c r="O98" s="11">
        <v>0</v>
      </c>
      <c r="P98" s="8">
        <f t="shared" si="20"/>
        <v>0.15783869194612865</v>
      </c>
      <c r="Q98" s="11">
        <f t="shared" si="21"/>
        <v>1635.5375850830285</v>
      </c>
      <c r="R98" s="11">
        <f t="shared" ref="R98:R129" si="30">P98*Q98</f>
        <v>258.1511130582353</v>
      </c>
      <c r="S98" s="11">
        <f t="shared" ref="S98:S129" si="31">R98*OffBalance</f>
        <v>210.56629475727988</v>
      </c>
      <c r="T98" s="11">
        <f t="shared" ref="T98:T129" si="32">IF(S98&lt;=MIN(KnotsX),INDEX(KnotsY,1),IF(S98&gt;=MAX(KnotsX),INDEX(KnotsY,COUNT(KnotsX)),INDEX(KnotsY,MATCH(S98,KnotsX,1))+(S98-INDEX(KnotsX,MATCH(S98,KnotsX,1)))*(INDEX(KnotsY,MATCH(S98,KnotsX,1)+1)-INDEX(KnotsY,MATCH(S98,KnotsX,1)))/(INDEX(KnotsX,MATCH(S98,KnotsX,1)+1)-INDEX(KnotsX,MATCH(S98,KnotsX,1)))))</f>
        <v>138.19156258510591</v>
      </c>
      <c r="U98" s="9">
        <f t="shared" si="25"/>
        <v>0.75</v>
      </c>
      <c r="V98" s="11">
        <f t="shared" ref="V98:V129" si="33">T98*U98</f>
        <v>103.64367193882944</v>
      </c>
      <c r="W98" s="11">
        <v>103.6436719388294</v>
      </c>
      <c r="X98" s="9">
        <f t="shared" ref="X98:X129" si="34">V98-W98</f>
        <v>0</v>
      </c>
      <c r="Y98" s="12">
        <f t="shared" ref="Y98:Y129" si="35">IFERROR(X98/W98,0)</f>
        <v>0</v>
      </c>
      <c r="Z98" t="str">
        <f t="shared" ref="Z98:Z129" si="36">IF(ABS(Y98)&lt;0.0001,"PASS","FAIL")</f>
        <v>PASS</v>
      </c>
    </row>
    <row r="99" spans="1:26">
      <c r="A99">
        <v>477618</v>
      </c>
      <c r="B99">
        <v>56</v>
      </c>
      <c r="C99">
        <v>11</v>
      </c>
      <c r="D99">
        <v>4</v>
      </c>
      <c r="E99" t="s">
        <v>150</v>
      </c>
      <c r="F99" t="s">
        <v>150</v>
      </c>
      <c r="G99" t="s">
        <v>93</v>
      </c>
      <c r="H99" t="s">
        <v>95</v>
      </c>
      <c r="I99" t="s">
        <v>146</v>
      </c>
      <c r="J99" t="s">
        <v>119</v>
      </c>
      <c r="K99" t="s">
        <v>104</v>
      </c>
      <c r="L99" t="s">
        <v>156</v>
      </c>
      <c r="M99" s="9">
        <v>7.0000000000000007E-2</v>
      </c>
      <c r="N99">
        <v>0</v>
      </c>
      <c r="O99" s="11">
        <v>0</v>
      </c>
      <c r="P99" s="8">
        <f t="shared" si="20"/>
        <v>9.2772575930451781E-2</v>
      </c>
      <c r="Q99" s="11">
        <f t="shared" si="21"/>
        <v>1774.7763706654443</v>
      </c>
      <c r="R99" s="11">
        <f t="shared" si="30"/>
        <v>164.65057560713157</v>
      </c>
      <c r="S99" s="11">
        <f t="shared" si="31"/>
        <v>134.3006474948881</v>
      </c>
      <c r="T99" s="11">
        <f t="shared" si="32"/>
        <v>100.3519441199069</v>
      </c>
      <c r="U99" s="9">
        <f t="shared" si="25"/>
        <v>0.9</v>
      </c>
      <c r="V99" s="11">
        <f t="shared" si="33"/>
        <v>90.316749707916216</v>
      </c>
      <c r="W99" s="11">
        <v>90.316749707916216</v>
      </c>
      <c r="X99" s="9">
        <f t="shared" si="34"/>
        <v>0</v>
      </c>
      <c r="Y99" s="12">
        <f t="shared" si="35"/>
        <v>0</v>
      </c>
      <c r="Z99" t="str">
        <f t="shared" si="36"/>
        <v>PASS</v>
      </c>
    </row>
    <row r="100" spans="1:26">
      <c r="A100">
        <v>677293</v>
      </c>
      <c r="B100">
        <v>58</v>
      </c>
      <c r="C100">
        <v>0</v>
      </c>
      <c r="D100">
        <v>5</v>
      </c>
      <c r="E100" t="s">
        <v>144</v>
      </c>
      <c r="F100" t="s">
        <v>145</v>
      </c>
      <c r="G100" t="s">
        <v>92</v>
      </c>
      <c r="H100" t="s">
        <v>161</v>
      </c>
      <c r="I100" t="s">
        <v>141</v>
      </c>
      <c r="J100" t="s">
        <v>151</v>
      </c>
      <c r="K100" t="s">
        <v>115</v>
      </c>
      <c r="L100" t="s">
        <v>156</v>
      </c>
      <c r="M100" s="9">
        <v>0.16</v>
      </c>
      <c r="N100">
        <v>0</v>
      </c>
      <c r="O100" s="11">
        <v>0</v>
      </c>
      <c r="P100" s="8">
        <f t="shared" si="20"/>
        <v>0.14557441245018662</v>
      </c>
      <c r="Q100" s="11">
        <f t="shared" si="21"/>
        <v>1778.2800986392276</v>
      </c>
      <c r="R100" s="11">
        <f t="shared" si="30"/>
        <v>258.87208053126545</v>
      </c>
      <c r="S100" s="11">
        <f t="shared" si="31"/>
        <v>211.15436678857202</v>
      </c>
      <c r="T100" s="11">
        <f t="shared" si="32"/>
        <v>138.19156258510591</v>
      </c>
      <c r="U100" s="9">
        <f t="shared" si="25"/>
        <v>0.75</v>
      </c>
      <c r="V100" s="11">
        <f t="shared" si="33"/>
        <v>103.64367193882944</v>
      </c>
      <c r="W100" s="11">
        <v>103.6436719388294</v>
      </c>
      <c r="X100" s="9">
        <f t="shared" si="34"/>
        <v>0</v>
      </c>
      <c r="Y100" s="12">
        <f t="shared" si="35"/>
        <v>0</v>
      </c>
      <c r="Z100" t="str">
        <f t="shared" si="36"/>
        <v>PASS</v>
      </c>
    </row>
    <row r="101" spans="1:26">
      <c r="A101">
        <v>397661</v>
      </c>
      <c r="B101">
        <v>62</v>
      </c>
      <c r="C101">
        <v>11</v>
      </c>
      <c r="D101">
        <v>4</v>
      </c>
      <c r="E101" t="s">
        <v>139</v>
      </c>
      <c r="F101" t="s">
        <v>139</v>
      </c>
      <c r="G101" t="s">
        <v>93</v>
      </c>
      <c r="H101" t="s">
        <v>148</v>
      </c>
      <c r="I101" t="s">
        <v>146</v>
      </c>
      <c r="J101" t="s">
        <v>119</v>
      </c>
      <c r="K101" t="s">
        <v>104</v>
      </c>
      <c r="L101" t="s">
        <v>153</v>
      </c>
      <c r="M101" s="9">
        <v>0.06</v>
      </c>
      <c r="N101">
        <v>0</v>
      </c>
      <c r="O101" s="11">
        <v>0</v>
      </c>
      <c r="P101" s="8">
        <f t="shared" si="20"/>
        <v>9.632653440187762E-2</v>
      </c>
      <c r="Q101" s="11">
        <f t="shared" si="21"/>
        <v>2390.2809348556257</v>
      </c>
      <c r="R101" s="11">
        <f t="shared" si="30"/>
        <v>230.24747870152262</v>
      </c>
      <c r="S101" s="11">
        <f t="shared" si="31"/>
        <v>187.80611825775236</v>
      </c>
      <c r="T101" s="11">
        <f t="shared" si="32"/>
        <v>138.19156258510591</v>
      </c>
      <c r="U101" s="9">
        <f t="shared" si="25"/>
        <v>0.9</v>
      </c>
      <c r="V101" s="11">
        <f t="shared" si="33"/>
        <v>124.37240632659532</v>
      </c>
      <c r="W101" s="11">
        <v>124.3724063265953</v>
      </c>
      <c r="X101" s="9">
        <f t="shared" si="34"/>
        <v>0</v>
      </c>
      <c r="Y101" s="12">
        <f t="shared" si="35"/>
        <v>0</v>
      </c>
      <c r="Z101" t="str">
        <f t="shared" si="36"/>
        <v>PASS</v>
      </c>
    </row>
    <row r="103" spans="1:26">
      <c r="A103" s="3" t="s">
        <v>182</v>
      </c>
    </row>
    <row r="104" spans="1:26">
      <c r="A104" t="s">
        <v>183</v>
      </c>
      <c r="B104">
        <f>COUNTIF(Z2:Z101,"PASS")</f>
        <v>100</v>
      </c>
    </row>
    <row r="105" spans="1:26">
      <c r="A105" t="s">
        <v>184</v>
      </c>
      <c r="B105" s="12">
        <f>MAX(MAX(Y2:Y101),-MIN(Y2:Y101))</f>
        <v>0</v>
      </c>
    </row>
    <row r="106" spans="1:26">
      <c r="A106" t="s">
        <v>185</v>
      </c>
      <c r="B106" s="12">
        <f>SUMPRODUCT(ABS(Y2:Y101))/100</f>
        <v>0</v>
      </c>
    </row>
  </sheetData>
  <conditionalFormatting sqref="Z2:Z101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README</vt:lpstr>
      <vt:lpstr>Scalars</vt:lpstr>
      <vt:lpstr>Coef_Freq</vt:lpstr>
      <vt:lpstr>Coef_Sev</vt:lpstr>
      <vt:lpstr>Encoder_Map</vt:lpstr>
      <vt:lpstr>Knots</vt:lpstr>
      <vt:lpstr>Loadings</vt:lpstr>
      <vt:lpstr>Sample_Policy</vt:lpstr>
      <vt:lpstr>Sensitivity_OneWay</vt:lpstr>
      <vt:lpstr>Reconcile</vt:lpstr>
      <vt:lpstr>FreqCoefs</vt:lpstr>
      <vt:lpstr>FreqIntercept</vt:lpstr>
      <vt:lpstr>KnotsX</vt:lpstr>
      <vt:lpstr>KnotsY</vt:lpstr>
      <vt:lpstr>LoadingsKeys</vt:lpstr>
      <vt:lpstr>LoadingsMult</vt:lpstr>
      <vt:lpstr>OffBalance</vt:lpstr>
      <vt:lpstr>SevCoefs</vt:lpstr>
      <vt:lpstr>SevIntercept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Leo L</cp:lastModifiedBy>
  <dcterms:created xsi:type="dcterms:W3CDTF">2026-05-13T17:57:40Z</dcterms:created>
  <dcterms:modified xsi:type="dcterms:W3CDTF">2026-05-13T21:38:32Z</dcterms:modified>
</cp:coreProperties>
</file>